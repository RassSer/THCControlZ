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ssSer\Desktop\"/>
    </mc:Choice>
  </mc:AlternateContent>
  <bookViews>
    <workbookView xWindow="0" yWindow="0" windowWidth="24000" windowHeight="9630"/>
  </bookViews>
  <sheets>
    <sheet name="Экран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" l="1"/>
  <c r="N35" i="1"/>
  <c r="H36" i="1"/>
  <c r="H35" i="1"/>
  <c r="H34" i="1"/>
  <c r="N33" i="1"/>
  <c r="N34" i="1" s="1"/>
  <c r="H33" i="1"/>
  <c r="H32" i="1"/>
  <c r="H14" i="1"/>
  <c r="H13" i="1"/>
  <c r="H12" i="1"/>
  <c r="H11" i="1"/>
  <c r="H10" i="1"/>
  <c r="N9" i="1"/>
  <c r="N10" i="1" s="1"/>
  <c r="H9" i="1"/>
  <c r="H8" i="1"/>
  <c r="AJ483" i="1"/>
  <c r="AI483" i="1"/>
  <c r="AH483" i="1"/>
  <c r="AE483" i="1"/>
  <c r="AD483" i="1"/>
  <c r="AB483" i="1"/>
  <c r="N483" i="1"/>
  <c r="H483" i="1"/>
  <c r="A483" i="1"/>
  <c r="AJ482" i="1"/>
  <c r="AI482" i="1"/>
  <c r="AH482" i="1"/>
  <c r="AE482" i="1"/>
  <c r="AD482" i="1"/>
  <c r="AB482" i="1"/>
  <c r="N482" i="1"/>
  <c r="H482" i="1"/>
  <c r="A482" i="1"/>
  <c r="AJ481" i="1"/>
  <c r="AI481" i="1"/>
  <c r="AH481" i="1"/>
  <c r="AE481" i="1"/>
  <c r="AD481" i="1"/>
  <c r="AB481" i="1"/>
  <c r="N481" i="1"/>
  <c r="H481" i="1"/>
  <c r="A481" i="1"/>
  <c r="AJ480" i="1"/>
  <c r="AI480" i="1"/>
  <c r="AH480" i="1"/>
  <c r="AE480" i="1"/>
  <c r="AD480" i="1"/>
  <c r="AB480" i="1"/>
  <c r="N480" i="1"/>
  <c r="H480" i="1"/>
  <c r="A480" i="1"/>
  <c r="AJ479" i="1"/>
  <c r="AI479" i="1"/>
  <c r="AH479" i="1"/>
  <c r="AE479" i="1"/>
  <c r="AD479" i="1"/>
  <c r="AB479" i="1"/>
  <c r="N479" i="1"/>
  <c r="H479" i="1"/>
  <c r="A479" i="1"/>
  <c r="AJ478" i="1"/>
  <c r="AI478" i="1"/>
  <c r="AH478" i="1"/>
  <c r="AE478" i="1"/>
  <c r="AD478" i="1"/>
  <c r="AB478" i="1"/>
  <c r="N478" i="1"/>
  <c r="H478" i="1"/>
  <c r="A478" i="1"/>
  <c r="AJ477" i="1"/>
  <c r="AI477" i="1"/>
  <c r="AH477" i="1"/>
  <c r="AE477" i="1"/>
  <c r="AD477" i="1"/>
  <c r="AB477" i="1"/>
  <c r="N477" i="1"/>
  <c r="H477" i="1"/>
  <c r="A477" i="1"/>
  <c r="AJ476" i="1"/>
  <c r="AI476" i="1"/>
  <c r="AH476" i="1"/>
  <c r="AE476" i="1"/>
  <c r="AD476" i="1"/>
  <c r="AB476" i="1"/>
  <c r="N476" i="1"/>
  <c r="H476" i="1"/>
  <c r="A476" i="1"/>
  <c r="AJ475" i="1"/>
  <c r="AI475" i="1"/>
  <c r="AH475" i="1"/>
  <c r="AE475" i="1"/>
  <c r="AD475" i="1"/>
  <c r="AB475" i="1"/>
  <c r="N475" i="1"/>
  <c r="H475" i="1"/>
  <c r="A475" i="1"/>
  <c r="AJ474" i="1"/>
  <c r="AI474" i="1"/>
  <c r="AH474" i="1"/>
  <c r="AE474" i="1"/>
  <c r="AD474" i="1"/>
  <c r="AB474" i="1"/>
  <c r="N474" i="1"/>
  <c r="H474" i="1"/>
  <c r="A474" i="1"/>
  <c r="AJ473" i="1"/>
  <c r="AI473" i="1"/>
  <c r="AH473" i="1"/>
  <c r="AE473" i="1"/>
  <c r="AD473" i="1"/>
  <c r="AB473" i="1"/>
  <c r="N473" i="1"/>
  <c r="H473" i="1"/>
  <c r="A473" i="1"/>
  <c r="AJ472" i="1"/>
  <c r="AI472" i="1"/>
  <c r="AH472" i="1"/>
  <c r="AE472" i="1"/>
  <c r="AD472" i="1"/>
  <c r="AB472" i="1"/>
  <c r="N472" i="1"/>
  <c r="H472" i="1"/>
  <c r="A472" i="1"/>
  <c r="AJ471" i="1"/>
  <c r="AI471" i="1"/>
  <c r="AH471" i="1"/>
  <c r="AE471" i="1"/>
  <c r="AD471" i="1"/>
  <c r="AB471" i="1"/>
  <c r="N471" i="1"/>
  <c r="H471" i="1"/>
  <c r="A471" i="1"/>
  <c r="AJ470" i="1"/>
  <c r="AI470" i="1"/>
  <c r="AH470" i="1"/>
  <c r="AE470" i="1"/>
  <c r="AD470" i="1"/>
  <c r="AB470" i="1"/>
  <c r="N470" i="1"/>
  <c r="H470" i="1"/>
  <c r="A470" i="1"/>
  <c r="AJ469" i="1"/>
  <c r="AI469" i="1"/>
  <c r="AH469" i="1"/>
  <c r="AE469" i="1"/>
  <c r="AD469" i="1"/>
  <c r="AB469" i="1"/>
  <c r="N469" i="1"/>
  <c r="H469" i="1"/>
  <c r="A469" i="1"/>
  <c r="AJ468" i="1"/>
  <c r="AI468" i="1"/>
  <c r="AH468" i="1"/>
  <c r="AE468" i="1"/>
  <c r="AD468" i="1"/>
  <c r="AB468" i="1"/>
  <c r="N468" i="1"/>
  <c r="H468" i="1"/>
  <c r="A468" i="1"/>
  <c r="AJ467" i="1"/>
  <c r="AI467" i="1"/>
  <c r="AH467" i="1"/>
  <c r="AE467" i="1"/>
  <c r="AD467" i="1"/>
  <c r="AB467" i="1"/>
  <c r="N467" i="1"/>
  <c r="H467" i="1"/>
  <c r="A467" i="1"/>
  <c r="AJ466" i="1"/>
  <c r="AI466" i="1"/>
  <c r="AH466" i="1"/>
  <c r="AE466" i="1"/>
  <c r="AD466" i="1"/>
  <c r="AB466" i="1"/>
  <c r="N466" i="1"/>
  <c r="H466" i="1"/>
  <c r="A466" i="1"/>
  <c r="AJ465" i="1"/>
  <c r="AI465" i="1"/>
  <c r="AH465" i="1"/>
  <c r="AE465" i="1"/>
  <c r="AD465" i="1"/>
  <c r="AB465" i="1"/>
  <c r="N465" i="1"/>
  <c r="H465" i="1"/>
  <c r="A465" i="1"/>
  <c r="AJ464" i="1"/>
  <c r="AI464" i="1"/>
  <c r="AH464" i="1"/>
  <c r="AE464" i="1"/>
  <c r="AD464" i="1"/>
  <c r="AB464" i="1"/>
  <c r="H464" i="1"/>
  <c r="AB463" i="1"/>
  <c r="AB462" i="1"/>
  <c r="A461" i="1"/>
  <c r="AJ459" i="1"/>
  <c r="AI459" i="1"/>
  <c r="AH459" i="1"/>
  <c r="AE459" i="1"/>
  <c r="AD459" i="1"/>
  <c r="AB459" i="1"/>
  <c r="N459" i="1"/>
  <c r="H459" i="1"/>
  <c r="A459" i="1"/>
  <c r="AJ458" i="1"/>
  <c r="AI458" i="1"/>
  <c r="AH458" i="1"/>
  <c r="AE458" i="1"/>
  <c r="AD458" i="1"/>
  <c r="AB458" i="1"/>
  <c r="N458" i="1"/>
  <c r="H458" i="1"/>
  <c r="A458" i="1"/>
  <c r="AJ457" i="1"/>
  <c r="AI457" i="1"/>
  <c r="AH457" i="1"/>
  <c r="AE457" i="1"/>
  <c r="AD457" i="1"/>
  <c r="AB457" i="1"/>
  <c r="N457" i="1"/>
  <c r="H457" i="1"/>
  <c r="A457" i="1"/>
  <c r="AJ456" i="1"/>
  <c r="AI456" i="1"/>
  <c r="AH456" i="1"/>
  <c r="AE456" i="1"/>
  <c r="AD456" i="1"/>
  <c r="AB456" i="1"/>
  <c r="N456" i="1"/>
  <c r="H456" i="1"/>
  <c r="A456" i="1"/>
  <c r="AJ455" i="1"/>
  <c r="AI455" i="1"/>
  <c r="AH455" i="1"/>
  <c r="AE455" i="1"/>
  <c r="AD455" i="1"/>
  <c r="AB455" i="1"/>
  <c r="N455" i="1"/>
  <c r="H455" i="1"/>
  <c r="A455" i="1"/>
  <c r="AJ454" i="1"/>
  <c r="AI454" i="1"/>
  <c r="AH454" i="1"/>
  <c r="AE454" i="1"/>
  <c r="AD454" i="1"/>
  <c r="AB454" i="1"/>
  <c r="N454" i="1"/>
  <c r="H454" i="1"/>
  <c r="A454" i="1"/>
  <c r="AJ453" i="1"/>
  <c r="AI453" i="1"/>
  <c r="AH453" i="1"/>
  <c r="AE453" i="1"/>
  <c r="AD453" i="1"/>
  <c r="AB453" i="1"/>
  <c r="N453" i="1"/>
  <c r="H453" i="1"/>
  <c r="A453" i="1"/>
  <c r="AJ452" i="1"/>
  <c r="AI452" i="1"/>
  <c r="AH452" i="1"/>
  <c r="AE452" i="1"/>
  <c r="AD452" i="1"/>
  <c r="AB452" i="1"/>
  <c r="N452" i="1"/>
  <c r="H452" i="1"/>
  <c r="A452" i="1"/>
  <c r="AJ451" i="1"/>
  <c r="AI451" i="1"/>
  <c r="AH451" i="1"/>
  <c r="AE451" i="1"/>
  <c r="AD451" i="1"/>
  <c r="AB451" i="1"/>
  <c r="N451" i="1"/>
  <c r="H451" i="1"/>
  <c r="A451" i="1"/>
  <c r="AJ450" i="1"/>
  <c r="AI450" i="1"/>
  <c r="AH450" i="1"/>
  <c r="AE450" i="1"/>
  <c r="AD450" i="1"/>
  <c r="AB450" i="1"/>
  <c r="N450" i="1"/>
  <c r="H450" i="1"/>
  <c r="A450" i="1"/>
  <c r="AJ449" i="1"/>
  <c r="AI449" i="1"/>
  <c r="AH449" i="1"/>
  <c r="AE449" i="1"/>
  <c r="AD449" i="1"/>
  <c r="AB449" i="1"/>
  <c r="N449" i="1"/>
  <c r="H449" i="1"/>
  <c r="A449" i="1"/>
  <c r="AJ448" i="1"/>
  <c r="AI448" i="1"/>
  <c r="AH448" i="1"/>
  <c r="AE448" i="1"/>
  <c r="AD448" i="1"/>
  <c r="AB448" i="1"/>
  <c r="N448" i="1"/>
  <c r="H448" i="1"/>
  <c r="A448" i="1"/>
  <c r="AJ447" i="1"/>
  <c r="AI447" i="1"/>
  <c r="AH447" i="1"/>
  <c r="AE447" i="1"/>
  <c r="AD447" i="1"/>
  <c r="AB447" i="1"/>
  <c r="N447" i="1"/>
  <c r="H447" i="1"/>
  <c r="A447" i="1"/>
  <c r="AJ446" i="1"/>
  <c r="AI446" i="1"/>
  <c r="AH446" i="1"/>
  <c r="AE446" i="1"/>
  <c r="AD446" i="1"/>
  <c r="AB446" i="1"/>
  <c r="N446" i="1"/>
  <c r="H446" i="1"/>
  <c r="A446" i="1"/>
  <c r="AJ445" i="1"/>
  <c r="AI445" i="1"/>
  <c r="AH445" i="1"/>
  <c r="AE445" i="1"/>
  <c r="AD445" i="1"/>
  <c r="AB445" i="1"/>
  <c r="N445" i="1"/>
  <c r="H445" i="1"/>
  <c r="A445" i="1"/>
  <c r="AJ444" i="1"/>
  <c r="AI444" i="1"/>
  <c r="AH444" i="1"/>
  <c r="AE444" i="1"/>
  <c r="AD444" i="1"/>
  <c r="AB444" i="1"/>
  <c r="N444" i="1"/>
  <c r="H444" i="1"/>
  <c r="A444" i="1"/>
  <c r="AJ443" i="1"/>
  <c r="AI443" i="1"/>
  <c r="AH443" i="1"/>
  <c r="AE443" i="1"/>
  <c r="AD443" i="1"/>
  <c r="AB443" i="1"/>
  <c r="N443" i="1"/>
  <c r="H443" i="1"/>
  <c r="A443" i="1"/>
  <c r="AJ442" i="1"/>
  <c r="AI442" i="1"/>
  <c r="AH442" i="1"/>
  <c r="AE442" i="1"/>
  <c r="AD442" i="1"/>
  <c r="AB442" i="1"/>
  <c r="N442" i="1"/>
  <c r="H442" i="1"/>
  <c r="A442" i="1"/>
  <c r="AJ441" i="1"/>
  <c r="AI441" i="1"/>
  <c r="AH441" i="1"/>
  <c r="AE441" i="1"/>
  <c r="AD441" i="1"/>
  <c r="AB441" i="1"/>
  <c r="N441" i="1"/>
  <c r="H441" i="1"/>
  <c r="A441" i="1"/>
  <c r="AJ440" i="1"/>
  <c r="AI440" i="1"/>
  <c r="AH440" i="1"/>
  <c r="AE440" i="1"/>
  <c r="AD440" i="1"/>
  <c r="AB440" i="1"/>
  <c r="H440" i="1"/>
  <c r="AB439" i="1"/>
  <c r="AB438" i="1"/>
  <c r="A437" i="1"/>
  <c r="AJ435" i="1"/>
  <c r="AI435" i="1"/>
  <c r="AH435" i="1"/>
  <c r="AE435" i="1"/>
  <c r="AD435" i="1"/>
  <c r="AB435" i="1"/>
  <c r="N435" i="1"/>
  <c r="H435" i="1"/>
  <c r="A435" i="1"/>
  <c r="AJ434" i="1"/>
  <c r="AI434" i="1"/>
  <c r="AH434" i="1"/>
  <c r="AE434" i="1"/>
  <c r="AD434" i="1"/>
  <c r="AB434" i="1"/>
  <c r="N434" i="1"/>
  <c r="H434" i="1"/>
  <c r="A434" i="1"/>
  <c r="AJ433" i="1"/>
  <c r="AI433" i="1"/>
  <c r="AH433" i="1"/>
  <c r="AE433" i="1"/>
  <c r="AD433" i="1"/>
  <c r="AB433" i="1"/>
  <c r="N433" i="1"/>
  <c r="H433" i="1"/>
  <c r="A433" i="1"/>
  <c r="AJ432" i="1"/>
  <c r="AI432" i="1"/>
  <c r="AH432" i="1"/>
  <c r="AE432" i="1"/>
  <c r="AD432" i="1"/>
  <c r="AB432" i="1"/>
  <c r="N432" i="1"/>
  <c r="H432" i="1"/>
  <c r="A432" i="1"/>
  <c r="AJ431" i="1"/>
  <c r="AI431" i="1"/>
  <c r="AH431" i="1"/>
  <c r="AE431" i="1"/>
  <c r="AD431" i="1"/>
  <c r="AB431" i="1"/>
  <c r="N431" i="1"/>
  <c r="H431" i="1"/>
  <c r="A431" i="1"/>
  <c r="AJ430" i="1"/>
  <c r="AI430" i="1"/>
  <c r="AH430" i="1"/>
  <c r="AE430" i="1"/>
  <c r="AD430" i="1"/>
  <c r="AB430" i="1"/>
  <c r="N430" i="1"/>
  <c r="H430" i="1"/>
  <c r="A430" i="1"/>
  <c r="AJ429" i="1"/>
  <c r="AI429" i="1"/>
  <c r="AH429" i="1"/>
  <c r="AE429" i="1"/>
  <c r="AD429" i="1"/>
  <c r="AB429" i="1"/>
  <c r="N429" i="1"/>
  <c r="H429" i="1"/>
  <c r="A429" i="1"/>
  <c r="AJ428" i="1"/>
  <c r="AI428" i="1"/>
  <c r="AH428" i="1"/>
  <c r="AE428" i="1"/>
  <c r="AD428" i="1"/>
  <c r="AB428" i="1"/>
  <c r="N428" i="1"/>
  <c r="H428" i="1"/>
  <c r="A428" i="1"/>
  <c r="AJ427" i="1"/>
  <c r="AI427" i="1"/>
  <c r="AH427" i="1"/>
  <c r="AE427" i="1"/>
  <c r="AD427" i="1"/>
  <c r="AB427" i="1"/>
  <c r="N427" i="1"/>
  <c r="H427" i="1"/>
  <c r="A427" i="1"/>
  <c r="AJ426" i="1"/>
  <c r="AI426" i="1"/>
  <c r="AH426" i="1"/>
  <c r="AE426" i="1"/>
  <c r="AD426" i="1"/>
  <c r="AB426" i="1"/>
  <c r="N426" i="1"/>
  <c r="H426" i="1"/>
  <c r="A426" i="1"/>
  <c r="AJ425" i="1"/>
  <c r="AI425" i="1"/>
  <c r="AH425" i="1"/>
  <c r="AE425" i="1"/>
  <c r="AD425" i="1"/>
  <c r="AB425" i="1"/>
  <c r="N425" i="1"/>
  <c r="H425" i="1"/>
  <c r="A425" i="1"/>
  <c r="AJ424" i="1"/>
  <c r="AI424" i="1"/>
  <c r="AH424" i="1"/>
  <c r="AE424" i="1"/>
  <c r="AD424" i="1"/>
  <c r="AB424" i="1"/>
  <c r="N424" i="1"/>
  <c r="H424" i="1"/>
  <c r="A424" i="1"/>
  <c r="AJ423" i="1"/>
  <c r="AI423" i="1"/>
  <c r="AH423" i="1"/>
  <c r="AE423" i="1"/>
  <c r="AD423" i="1"/>
  <c r="AB423" i="1"/>
  <c r="N423" i="1"/>
  <c r="H423" i="1"/>
  <c r="A423" i="1"/>
  <c r="AJ422" i="1"/>
  <c r="AI422" i="1"/>
  <c r="AH422" i="1"/>
  <c r="AE422" i="1"/>
  <c r="AD422" i="1"/>
  <c r="AB422" i="1"/>
  <c r="N422" i="1"/>
  <c r="H422" i="1"/>
  <c r="A422" i="1"/>
  <c r="AJ421" i="1"/>
  <c r="AI421" i="1"/>
  <c r="AH421" i="1"/>
  <c r="AE421" i="1"/>
  <c r="AD421" i="1"/>
  <c r="AB421" i="1"/>
  <c r="N421" i="1"/>
  <c r="H421" i="1"/>
  <c r="A421" i="1"/>
  <c r="AJ420" i="1"/>
  <c r="AI420" i="1"/>
  <c r="AH420" i="1"/>
  <c r="AE420" i="1"/>
  <c r="AD420" i="1"/>
  <c r="AB420" i="1"/>
  <c r="N420" i="1"/>
  <c r="H420" i="1"/>
  <c r="A420" i="1"/>
  <c r="AJ419" i="1"/>
  <c r="AI419" i="1"/>
  <c r="AH419" i="1"/>
  <c r="AE419" i="1"/>
  <c r="AD419" i="1"/>
  <c r="AB419" i="1"/>
  <c r="N419" i="1"/>
  <c r="H419" i="1"/>
  <c r="A419" i="1"/>
  <c r="AJ418" i="1"/>
  <c r="AI418" i="1"/>
  <c r="AH418" i="1"/>
  <c r="AE418" i="1"/>
  <c r="AD418" i="1"/>
  <c r="AB418" i="1"/>
  <c r="N418" i="1"/>
  <c r="H418" i="1"/>
  <c r="A418" i="1"/>
  <c r="AJ417" i="1"/>
  <c r="AI417" i="1"/>
  <c r="AH417" i="1"/>
  <c r="AE417" i="1"/>
  <c r="AD417" i="1"/>
  <c r="AB417" i="1"/>
  <c r="N417" i="1"/>
  <c r="H417" i="1"/>
  <c r="A417" i="1"/>
  <c r="AJ416" i="1"/>
  <c r="AI416" i="1"/>
  <c r="AH416" i="1"/>
  <c r="AE416" i="1"/>
  <c r="AD416" i="1"/>
  <c r="AB416" i="1"/>
  <c r="H416" i="1"/>
  <c r="AB415" i="1"/>
  <c r="AB414" i="1"/>
  <c r="A413" i="1"/>
  <c r="AJ411" i="1"/>
  <c r="AI411" i="1"/>
  <c r="AH411" i="1"/>
  <c r="AE411" i="1"/>
  <c r="AD411" i="1"/>
  <c r="AB411" i="1"/>
  <c r="N411" i="1"/>
  <c r="H411" i="1"/>
  <c r="A411" i="1"/>
  <c r="AJ410" i="1"/>
  <c r="AI410" i="1"/>
  <c r="AH410" i="1"/>
  <c r="AE410" i="1"/>
  <c r="AD410" i="1"/>
  <c r="AB410" i="1"/>
  <c r="N410" i="1"/>
  <c r="H410" i="1"/>
  <c r="A410" i="1"/>
  <c r="AJ409" i="1"/>
  <c r="AI409" i="1"/>
  <c r="AH409" i="1"/>
  <c r="AE409" i="1"/>
  <c r="AD409" i="1"/>
  <c r="AB409" i="1"/>
  <c r="N409" i="1"/>
  <c r="H409" i="1"/>
  <c r="A409" i="1"/>
  <c r="AJ408" i="1"/>
  <c r="AI408" i="1"/>
  <c r="AH408" i="1"/>
  <c r="AE408" i="1"/>
  <c r="AD408" i="1"/>
  <c r="AB408" i="1"/>
  <c r="N408" i="1"/>
  <c r="H408" i="1"/>
  <c r="A408" i="1"/>
  <c r="AJ407" i="1"/>
  <c r="AI407" i="1"/>
  <c r="AH407" i="1"/>
  <c r="AE407" i="1"/>
  <c r="AD407" i="1"/>
  <c r="AB407" i="1"/>
  <c r="N407" i="1"/>
  <c r="H407" i="1"/>
  <c r="A407" i="1"/>
  <c r="AJ406" i="1"/>
  <c r="AI406" i="1"/>
  <c r="AH406" i="1"/>
  <c r="AE406" i="1"/>
  <c r="AD406" i="1"/>
  <c r="AB406" i="1"/>
  <c r="N406" i="1"/>
  <c r="H406" i="1"/>
  <c r="A406" i="1"/>
  <c r="AJ405" i="1"/>
  <c r="AI405" i="1"/>
  <c r="AH405" i="1"/>
  <c r="AE405" i="1"/>
  <c r="AD405" i="1"/>
  <c r="AB405" i="1"/>
  <c r="N405" i="1"/>
  <c r="H405" i="1"/>
  <c r="A405" i="1"/>
  <c r="AJ404" i="1"/>
  <c r="AI404" i="1"/>
  <c r="AH404" i="1"/>
  <c r="AE404" i="1"/>
  <c r="AD404" i="1"/>
  <c r="AB404" i="1"/>
  <c r="N404" i="1"/>
  <c r="H404" i="1"/>
  <c r="A404" i="1"/>
  <c r="AJ403" i="1"/>
  <c r="AI403" i="1"/>
  <c r="AH403" i="1"/>
  <c r="AE403" i="1"/>
  <c r="AD403" i="1"/>
  <c r="AB403" i="1"/>
  <c r="N403" i="1"/>
  <c r="H403" i="1"/>
  <c r="A403" i="1"/>
  <c r="AJ402" i="1"/>
  <c r="AI402" i="1"/>
  <c r="AH402" i="1"/>
  <c r="AE402" i="1"/>
  <c r="AD402" i="1"/>
  <c r="AB402" i="1"/>
  <c r="N402" i="1"/>
  <c r="H402" i="1"/>
  <c r="A402" i="1"/>
  <c r="AJ401" i="1"/>
  <c r="AI401" i="1"/>
  <c r="AH401" i="1"/>
  <c r="AE401" i="1"/>
  <c r="AD401" i="1"/>
  <c r="AB401" i="1"/>
  <c r="N401" i="1"/>
  <c r="H401" i="1"/>
  <c r="A401" i="1"/>
  <c r="AJ400" i="1"/>
  <c r="AI400" i="1"/>
  <c r="AH400" i="1"/>
  <c r="AE400" i="1"/>
  <c r="AD400" i="1"/>
  <c r="AB400" i="1"/>
  <c r="N400" i="1"/>
  <c r="H400" i="1"/>
  <c r="A400" i="1"/>
  <c r="AJ399" i="1"/>
  <c r="AI399" i="1"/>
  <c r="AH399" i="1"/>
  <c r="AE399" i="1"/>
  <c r="AD399" i="1"/>
  <c r="AB399" i="1"/>
  <c r="N399" i="1"/>
  <c r="H399" i="1"/>
  <c r="A399" i="1"/>
  <c r="AJ398" i="1"/>
  <c r="AI398" i="1"/>
  <c r="AH398" i="1"/>
  <c r="AE398" i="1"/>
  <c r="AD398" i="1"/>
  <c r="AB398" i="1"/>
  <c r="N398" i="1"/>
  <c r="H398" i="1"/>
  <c r="A398" i="1"/>
  <c r="AJ397" i="1"/>
  <c r="AI397" i="1"/>
  <c r="AH397" i="1"/>
  <c r="AE397" i="1"/>
  <c r="AD397" i="1"/>
  <c r="AB397" i="1"/>
  <c r="N397" i="1"/>
  <c r="H397" i="1"/>
  <c r="A397" i="1"/>
  <c r="AJ396" i="1"/>
  <c r="AI396" i="1"/>
  <c r="AH396" i="1"/>
  <c r="AE396" i="1"/>
  <c r="AD396" i="1"/>
  <c r="AB396" i="1"/>
  <c r="N396" i="1"/>
  <c r="H396" i="1"/>
  <c r="A396" i="1"/>
  <c r="AJ395" i="1"/>
  <c r="AI395" i="1"/>
  <c r="AH395" i="1"/>
  <c r="AE395" i="1"/>
  <c r="AD395" i="1"/>
  <c r="AB395" i="1"/>
  <c r="N395" i="1"/>
  <c r="H395" i="1"/>
  <c r="A395" i="1"/>
  <c r="AJ394" i="1"/>
  <c r="AI394" i="1"/>
  <c r="AH394" i="1"/>
  <c r="AE394" i="1"/>
  <c r="AD394" i="1"/>
  <c r="AB394" i="1"/>
  <c r="N394" i="1"/>
  <c r="H394" i="1"/>
  <c r="A394" i="1"/>
  <c r="AJ393" i="1"/>
  <c r="AI393" i="1"/>
  <c r="AH393" i="1"/>
  <c r="AE393" i="1"/>
  <c r="AD393" i="1"/>
  <c r="AB393" i="1"/>
  <c r="N393" i="1"/>
  <c r="H393" i="1"/>
  <c r="A393" i="1"/>
  <c r="AJ392" i="1"/>
  <c r="AI392" i="1"/>
  <c r="AH392" i="1"/>
  <c r="AE392" i="1"/>
  <c r="AD392" i="1"/>
  <c r="AB392" i="1"/>
  <c r="H392" i="1"/>
  <c r="AB391" i="1"/>
  <c r="AB390" i="1"/>
  <c r="A389" i="1"/>
  <c r="AJ387" i="1"/>
  <c r="AI387" i="1"/>
  <c r="AH387" i="1"/>
  <c r="AE387" i="1"/>
  <c r="AD387" i="1"/>
  <c r="AB387" i="1"/>
  <c r="N387" i="1"/>
  <c r="H387" i="1"/>
  <c r="A387" i="1"/>
  <c r="AJ386" i="1"/>
  <c r="AI386" i="1"/>
  <c r="AH386" i="1"/>
  <c r="AE386" i="1"/>
  <c r="AD386" i="1"/>
  <c r="AB386" i="1"/>
  <c r="N386" i="1"/>
  <c r="H386" i="1"/>
  <c r="A386" i="1"/>
  <c r="AJ385" i="1"/>
  <c r="AI385" i="1"/>
  <c r="AH385" i="1"/>
  <c r="AE385" i="1"/>
  <c r="AD385" i="1"/>
  <c r="AB385" i="1"/>
  <c r="N385" i="1"/>
  <c r="H385" i="1"/>
  <c r="A385" i="1"/>
  <c r="AJ384" i="1"/>
  <c r="AI384" i="1"/>
  <c r="AH384" i="1"/>
  <c r="AE384" i="1"/>
  <c r="AD384" i="1"/>
  <c r="AB384" i="1"/>
  <c r="N384" i="1"/>
  <c r="H384" i="1"/>
  <c r="A384" i="1"/>
  <c r="AJ383" i="1"/>
  <c r="AI383" i="1"/>
  <c r="AH383" i="1"/>
  <c r="AE383" i="1"/>
  <c r="AD383" i="1"/>
  <c r="AB383" i="1"/>
  <c r="N383" i="1"/>
  <c r="H383" i="1"/>
  <c r="A383" i="1"/>
  <c r="AJ382" i="1"/>
  <c r="AI382" i="1"/>
  <c r="AH382" i="1"/>
  <c r="AE382" i="1"/>
  <c r="AD382" i="1"/>
  <c r="AB382" i="1"/>
  <c r="N382" i="1"/>
  <c r="H382" i="1"/>
  <c r="A382" i="1"/>
  <c r="AJ381" i="1"/>
  <c r="AI381" i="1"/>
  <c r="AH381" i="1"/>
  <c r="AE381" i="1"/>
  <c r="AD381" i="1"/>
  <c r="AB381" i="1"/>
  <c r="N381" i="1"/>
  <c r="H381" i="1"/>
  <c r="A381" i="1"/>
  <c r="AJ380" i="1"/>
  <c r="AI380" i="1"/>
  <c r="AH380" i="1"/>
  <c r="AE380" i="1"/>
  <c r="AD380" i="1"/>
  <c r="AB380" i="1"/>
  <c r="N380" i="1"/>
  <c r="H380" i="1"/>
  <c r="A380" i="1"/>
  <c r="AJ379" i="1"/>
  <c r="AI379" i="1"/>
  <c r="AH379" i="1"/>
  <c r="AE379" i="1"/>
  <c r="AD379" i="1"/>
  <c r="AB379" i="1"/>
  <c r="N379" i="1"/>
  <c r="H379" i="1"/>
  <c r="A379" i="1"/>
  <c r="AJ378" i="1"/>
  <c r="AI378" i="1"/>
  <c r="AH378" i="1"/>
  <c r="AE378" i="1"/>
  <c r="AD378" i="1"/>
  <c r="AB378" i="1"/>
  <c r="N378" i="1"/>
  <c r="H378" i="1"/>
  <c r="A378" i="1"/>
  <c r="AJ377" i="1"/>
  <c r="AI377" i="1"/>
  <c r="AH377" i="1"/>
  <c r="AE377" i="1"/>
  <c r="AD377" i="1"/>
  <c r="AB377" i="1"/>
  <c r="N377" i="1"/>
  <c r="H377" i="1"/>
  <c r="A377" i="1"/>
  <c r="AJ376" i="1"/>
  <c r="AI376" i="1"/>
  <c r="AH376" i="1"/>
  <c r="AE376" i="1"/>
  <c r="AD376" i="1"/>
  <c r="AB376" i="1"/>
  <c r="N376" i="1"/>
  <c r="H376" i="1"/>
  <c r="A376" i="1"/>
  <c r="AJ375" i="1"/>
  <c r="AI375" i="1"/>
  <c r="AH375" i="1"/>
  <c r="AE375" i="1"/>
  <c r="AD375" i="1"/>
  <c r="AB375" i="1"/>
  <c r="N375" i="1"/>
  <c r="H375" i="1"/>
  <c r="A375" i="1"/>
  <c r="AJ374" i="1"/>
  <c r="AI374" i="1"/>
  <c r="AH374" i="1"/>
  <c r="AE374" i="1"/>
  <c r="AD374" i="1"/>
  <c r="AB374" i="1"/>
  <c r="N374" i="1"/>
  <c r="H374" i="1"/>
  <c r="A374" i="1"/>
  <c r="AJ373" i="1"/>
  <c r="AI373" i="1"/>
  <c r="AH373" i="1"/>
  <c r="AE373" i="1"/>
  <c r="AD373" i="1"/>
  <c r="AB373" i="1"/>
  <c r="N373" i="1"/>
  <c r="H373" i="1"/>
  <c r="A373" i="1"/>
  <c r="AJ372" i="1"/>
  <c r="AI372" i="1"/>
  <c r="AH372" i="1"/>
  <c r="AE372" i="1"/>
  <c r="AD372" i="1"/>
  <c r="AB372" i="1"/>
  <c r="N372" i="1"/>
  <c r="H372" i="1"/>
  <c r="A372" i="1"/>
  <c r="AJ371" i="1"/>
  <c r="AI371" i="1"/>
  <c r="AH371" i="1"/>
  <c r="AE371" i="1"/>
  <c r="AD371" i="1"/>
  <c r="AB371" i="1"/>
  <c r="N371" i="1"/>
  <c r="H371" i="1"/>
  <c r="A371" i="1"/>
  <c r="AJ370" i="1"/>
  <c r="AI370" i="1"/>
  <c r="AH370" i="1"/>
  <c r="AE370" i="1"/>
  <c r="AD370" i="1"/>
  <c r="AB370" i="1"/>
  <c r="N370" i="1"/>
  <c r="H370" i="1"/>
  <c r="A370" i="1"/>
  <c r="AJ369" i="1"/>
  <c r="AI369" i="1"/>
  <c r="AH369" i="1"/>
  <c r="AE369" i="1"/>
  <c r="AD369" i="1"/>
  <c r="AB369" i="1"/>
  <c r="N369" i="1"/>
  <c r="H369" i="1"/>
  <c r="A369" i="1"/>
  <c r="AJ368" i="1"/>
  <c r="AI368" i="1"/>
  <c r="AH368" i="1"/>
  <c r="AE368" i="1"/>
  <c r="AD368" i="1"/>
  <c r="AB368" i="1"/>
  <c r="H368" i="1"/>
  <c r="AB367" i="1"/>
  <c r="AB366" i="1"/>
  <c r="A365" i="1"/>
  <c r="AJ363" i="1"/>
  <c r="AI363" i="1"/>
  <c r="AH363" i="1"/>
  <c r="AE363" i="1"/>
  <c r="AD363" i="1"/>
  <c r="AB363" i="1"/>
  <c r="N363" i="1"/>
  <c r="H363" i="1"/>
  <c r="A363" i="1"/>
  <c r="AJ362" i="1"/>
  <c r="AI362" i="1"/>
  <c r="AH362" i="1"/>
  <c r="AE362" i="1"/>
  <c r="AD362" i="1"/>
  <c r="AB362" i="1"/>
  <c r="N362" i="1"/>
  <c r="H362" i="1"/>
  <c r="A362" i="1"/>
  <c r="AJ361" i="1"/>
  <c r="AI361" i="1"/>
  <c r="AH361" i="1"/>
  <c r="AE361" i="1"/>
  <c r="AD361" i="1"/>
  <c r="AB361" i="1"/>
  <c r="N361" i="1"/>
  <c r="H361" i="1"/>
  <c r="A361" i="1"/>
  <c r="AJ360" i="1"/>
  <c r="AI360" i="1"/>
  <c r="AH360" i="1"/>
  <c r="AE360" i="1"/>
  <c r="AD360" i="1"/>
  <c r="AB360" i="1"/>
  <c r="N360" i="1"/>
  <c r="H360" i="1"/>
  <c r="A360" i="1"/>
  <c r="AJ359" i="1"/>
  <c r="AI359" i="1"/>
  <c r="AH359" i="1"/>
  <c r="AE359" i="1"/>
  <c r="AD359" i="1"/>
  <c r="AB359" i="1"/>
  <c r="N359" i="1"/>
  <c r="H359" i="1"/>
  <c r="A359" i="1"/>
  <c r="AJ358" i="1"/>
  <c r="AI358" i="1"/>
  <c r="AH358" i="1"/>
  <c r="AE358" i="1"/>
  <c r="AD358" i="1"/>
  <c r="AB358" i="1"/>
  <c r="N358" i="1"/>
  <c r="H358" i="1"/>
  <c r="A358" i="1"/>
  <c r="AJ357" i="1"/>
  <c r="AI357" i="1"/>
  <c r="AH357" i="1"/>
  <c r="AE357" i="1"/>
  <c r="AD357" i="1"/>
  <c r="AB357" i="1"/>
  <c r="N357" i="1"/>
  <c r="H357" i="1"/>
  <c r="A357" i="1"/>
  <c r="AJ356" i="1"/>
  <c r="AI356" i="1"/>
  <c r="AH356" i="1"/>
  <c r="AE356" i="1"/>
  <c r="AD356" i="1"/>
  <c r="AB356" i="1"/>
  <c r="N356" i="1"/>
  <c r="H356" i="1"/>
  <c r="A356" i="1"/>
  <c r="AJ355" i="1"/>
  <c r="AI355" i="1"/>
  <c r="AH355" i="1"/>
  <c r="AE355" i="1"/>
  <c r="AD355" i="1"/>
  <c r="AB355" i="1"/>
  <c r="N355" i="1"/>
  <c r="H355" i="1"/>
  <c r="A355" i="1"/>
  <c r="AJ354" i="1"/>
  <c r="AI354" i="1"/>
  <c r="AH354" i="1"/>
  <c r="AE354" i="1"/>
  <c r="AD354" i="1"/>
  <c r="AB354" i="1"/>
  <c r="N354" i="1"/>
  <c r="H354" i="1"/>
  <c r="A354" i="1"/>
  <c r="AJ353" i="1"/>
  <c r="AI353" i="1"/>
  <c r="AH353" i="1"/>
  <c r="AE353" i="1"/>
  <c r="AD353" i="1"/>
  <c r="AB353" i="1"/>
  <c r="N353" i="1"/>
  <c r="H353" i="1"/>
  <c r="A353" i="1"/>
  <c r="AJ352" i="1"/>
  <c r="AI352" i="1"/>
  <c r="AH352" i="1"/>
  <c r="AE352" i="1"/>
  <c r="AD352" i="1"/>
  <c r="AB352" i="1"/>
  <c r="N352" i="1"/>
  <c r="H352" i="1"/>
  <c r="A352" i="1"/>
  <c r="AJ351" i="1"/>
  <c r="AI351" i="1"/>
  <c r="AH351" i="1"/>
  <c r="AE351" i="1"/>
  <c r="AD351" i="1"/>
  <c r="AB351" i="1"/>
  <c r="N351" i="1"/>
  <c r="H351" i="1"/>
  <c r="A351" i="1"/>
  <c r="AJ350" i="1"/>
  <c r="AI350" i="1"/>
  <c r="AH350" i="1"/>
  <c r="AE350" i="1"/>
  <c r="AD350" i="1"/>
  <c r="AB350" i="1"/>
  <c r="N350" i="1"/>
  <c r="H350" i="1"/>
  <c r="A350" i="1"/>
  <c r="AJ349" i="1"/>
  <c r="AI349" i="1"/>
  <c r="AH349" i="1"/>
  <c r="AE349" i="1"/>
  <c r="AD349" i="1"/>
  <c r="AB349" i="1"/>
  <c r="N349" i="1"/>
  <c r="H349" i="1"/>
  <c r="A349" i="1"/>
  <c r="AJ348" i="1"/>
  <c r="AI348" i="1"/>
  <c r="AH348" i="1"/>
  <c r="AE348" i="1"/>
  <c r="AD348" i="1"/>
  <c r="AB348" i="1"/>
  <c r="N348" i="1"/>
  <c r="H348" i="1"/>
  <c r="A348" i="1"/>
  <c r="AJ347" i="1"/>
  <c r="AI347" i="1"/>
  <c r="AH347" i="1"/>
  <c r="AE347" i="1"/>
  <c r="AD347" i="1"/>
  <c r="AB347" i="1"/>
  <c r="N347" i="1"/>
  <c r="H347" i="1"/>
  <c r="A347" i="1"/>
  <c r="AJ346" i="1"/>
  <c r="AI346" i="1"/>
  <c r="AH346" i="1"/>
  <c r="AE346" i="1"/>
  <c r="AD346" i="1"/>
  <c r="AB346" i="1"/>
  <c r="N346" i="1"/>
  <c r="H346" i="1"/>
  <c r="A346" i="1"/>
  <c r="AJ345" i="1"/>
  <c r="AI345" i="1"/>
  <c r="AH345" i="1"/>
  <c r="AE345" i="1"/>
  <c r="AD345" i="1"/>
  <c r="AB345" i="1"/>
  <c r="N345" i="1"/>
  <c r="H345" i="1"/>
  <c r="A345" i="1"/>
  <c r="AJ344" i="1"/>
  <c r="AI344" i="1"/>
  <c r="AH344" i="1"/>
  <c r="AE344" i="1"/>
  <c r="AD344" i="1"/>
  <c r="AB344" i="1"/>
  <c r="H344" i="1"/>
  <c r="AB343" i="1"/>
  <c r="AB342" i="1"/>
  <c r="A341" i="1"/>
  <c r="AJ339" i="1"/>
  <c r="AI339" i="1"/>
  <c r="AH339" i="1"/>
  <c r="AE339" i="1"/>
  <c r="AD339" i="1"/>
  <c r="AB339" i="1"/>
  <c r="N339" i="1"/>
  <c r="H339" i="1"/>
  <c r="A339" i="1"/>
  <c r="AJ338" i="1"/>
  <c r="AI338" i="1"/>
  <c r="AH338" i="1"/>
  <c r="AE338" i="1"/>
  <c r="AD338" i="1"/>
  <c r="AB338" i="1"/>
  <c r="N338" i="1"/>
  <c r="H338" i="1"/>
  <c r="A338" i="1"/>
  <c r="AJ337" i="1"/>
  <c r="AI337" i="1"/>
  <c r="AH337" i="1"/>
  <c r="AE337" i="1"/>
  <c r="AD337" i="1"/>
  <c r="AB337" i="1"/>
  <c r="N337" i="1"/>
  <c r="H337" i="1"/>
  <c r="A337" i="1"/>
  <c r="AJ336" i="1"/>
  <c r="AI336" i="1"/>
  <c r="AH336" i="1"/>
  <c r="AE336" i="1"/>
  <c r="AD336" i="1"/>
  <c r="AB336" i="1"/>
  <c r="N336" i="1"/>
  <c r="H336" i="1"/>
  <c r="A336" i="1"/>
  <c r="AJ335" i="1"/>
  <c r="AI335" i="1"/>
  <c r="AH335" i="1"/>
  <c r="AE335" i="1"/>
  <c r="AD335" i="1"/>
  <c r="AB335" i="1"/>
  <c r="N335" i="1"/>
  <c r="H335" i="1"/>
  <c r="A335" i="1"/>
  <c r="AJ334" i="1"/>
  <c r="AI334" i="1"/>
  <c r="AH334" i="1"/>
  <c r="AE334" i="1"/>
  <c r="AD334" i="1"/>
  <c r="AB334" i="1"/>
  <c r="N334" i="1"/>
  <c r="H334" i="1"/>
  <c r="A334" i="1"/>
  <c r="AJ333" i="1"/>
  <c r="AI333" i="1"/>
  <c r="AH333" i="1"/>
  <c r="AE333" i="1"/>
  <c r="AD333" i="1"/>
  <c r="AB333" i="1"/>
  <c r="N333" i="1"/>
  <c r="H333" i="1"/>
  <c r="A333" i="1"/>
  <c r="AJ332" i="1"/>
  <c r="AI332" i="1"/>
  <c r="AH332" i="1"/>
  <c r="AE332" i="1"/>
  <c r="AD332" i="1"/>
  <c r="AB332" i="1"/>
  <c r="N332" i="1"/>
  <c r="H332" i="1"/>
  <c r="A332" i="1"/>
  <c r="AJ331" i="1"/>
  <c r="AI331" i="1"/>
  <c r="AH331" i="1"/>
  <c r="AE331" i="1"/>
  <c r="AD331" i="1"/>
  <c r="AB331" i="1"/>
  <c r="N331" i="1"/>
  <c r="H331" i="1"/>
  <c r="A331" i="1"/>
  <c r="AJ330" i="1"/>
  <c r="AI330" i="1"/>
  <c r="AH330" i="1"/>
  <c r="AE330" i="1"/>
  <c r="AD330" i="1"/>
  <c r="AB330" i="1"/>
  <c r="N330" i="1"/>
  <c r="H330" i="1"/>
  <c r="A330" i="1"/>
  <c r="AJ329" i="1"/>
  <c r="AI329" i="1"/>
  <c r="AH329" i="1"/>
  <c r="AE329" i="1"/>
  <c r="AD329" i="1"/>
  <c r="AB329" i="1"/>
  <c r="N329" i="1"/>
  <c r="H329" i="1"/>
  <c r="A329" i="1"/>
  <c r="AJ328" i="1"/>
  <c r="AI328" i="1"/>
  <c r="AH328" i="1"/>
  <c r="AE328" i="1"/>
  <c r="AD328" i="1"/>
  <c r="AB328" i="1"/>
  <c r="N328" i="1"/>
  <c r="H328" i="1"/>
  <c r="A328" i="1"/>
  <c r="AJ327" i="1"/>
  <c r="AI327" i="1"/>
  <c r="AH327" i="1"/>
  <c r="AE327" i="1"/>
  <c r="AD327" i="1"/>
  <c r="AB327" i="1"/>
  <c r="N327" i="1"/>
  <c r="H327" i="1"/>
  <c r="A327" i="1"/>
  <c r="AJ326" i="1"/>
  <c r="AI326" i="1"/>
  <c r="AH326" i="1"/>
  <c r="AE326" i="1"/>
  <c r="AD326" i="1"/>
  <c r="AB326" i="1"/>
  <c r="N326" i="1"/>
  <c r="H326" i="1"/>
  <c r="A326" i="1"/>
  <c r="AJ325" i="1"/>
  <c r="AI325" i="1"/>
  <c r="AH325" i="1"/>
  <c r="AE325" i="1"/>
  <c r="AD325" i="1"/>
  <c r="AB325" i="1"/>
  <c r="N325" i="1"/>
  <c r="H325" i="1"/>
  <c r="A325" i="1"/>
  <c r="AJ324" i="1"/>
  <c r="AI324" i="1"/>
  <c r="AH324" i="1"/>
  <c r="AE324" i="1"/>
  <c r="AD324" i="1"/>
  <c r="AB324" i="1"/>
  <c r="N324" i="1"/>
  <c r="H324" i="1"/>
  <c r="A324" i="1"/>
  <c r="AJ323" i="1"/>
  <c r="AI323" i="1"/>
  <c r="AH323" i="1"/>
  <c r="AE323" i="1"/>
  <c r="AD323" i="1"/>
  <c r="AB323" i="1"/>
  <c r="N323" i="1"/>
  <c r="H323" i="1"/>
  <c r="A323" i="1"/>
  <c r="AJ322" i="1"/>
  <c r="AI322" i="1"/>
  <c r="AH322" i="1"/>
  <c r="AE322" i="1"/>
  <c r="AD322" i="1"/>
  <c r="AB322" i="1"/>
  <c r="N322" i="1"/>
  <c r="H322" i="1"/>
  <c r="A322" i="1"/>
  <c r="AJ321" i="1"/>
  <c r="AI321" i="1"/>
  <c r="AH321" i="1"/>
  <c r="AE321" i="1"/>
  <c r="AD321" i="1"/>
  <c r="AB321" i="1"/>
  <c r="N321" i="1"/>
  <c r="H321" i="1"/>
  <c r="A321" i="1"/>
  <c r="AJ320" i="1"/>
  <c r="AI320" i="1"/>
  <c r="AH320" i="1"/>
  <c r="AE320" i="1"/>
  <c r="AD320" i="1"/>
  <c r="AB320" i="1"/>
  <c r="H320" i="1"/>
  <c r="AB319" i="1"/>
  <c r="AB318" i="1"/>
  <c r="A317" i="1"/>
  <c r="AJ315" i="1"/>
  <c r="AI315" i="1"/>
  <c r="AH315" i="1"/>
  <c r="AE315" i="1"/>
  <c r="AD315" i="1"/>
  <c r="AB315" i="1"/>
  <c r="N315" i="1"/>
  <c r="H315" i="1"/>
  <c r="A315" i="1"/>
  <c r="AJ314" i="1"/>
  <c r="AI314" i="1"/>
  <c r="AH314" i="1"/>
  <c r="AE314" i="1"/>
  <c r="AD314" i="1"/>
  <c r="AB314" i="1"/>
  <c r="N314" i="1"/>
  <c r="H314" i="1"/>
  <c r="A314" i="1"/>
  <c r="AJ313" i="1"/>
  <c r="AI313" i="1"/>
  <c r="AH313" i="1"/>
  <c r="AE313" i="1"/>
  <c r="AD313" i="1"/>
  <c r="AB313" i="1"/>
  <c r="N313" i="1"/>
  <c r="H313" i="1"/>
  <c r="A313" i="1"/>
  <c r="AJ312" i="1"/>
  <c r="AI312" i="1"/>
  <c r="AH312" i="1"/>
  <c r="AE312" i="1"/>
  <c r="AD312" i="1"/>
  <c r="AB312" i="1"/>
  <c r="N312" i="1"/>
  <c r="H312" i="1"/>
  <c r="A312" i="1"/>
  <c r="AJ311" i="1"/>
  <c r="AI311" i="1"/>
  <c r="AH311" i="1"/>
  <c r="AE311" i="1"/>
  <c r="AD311" i="1"/>
  <c r="AB311" i="1"/>
  <c r="N311" i="1"/>
  <c r="H311" i="1"/>
  <c r="A311" i="1"/>
  <c r="AJ310" i="1"/>
  <c r="AI310" i="1"/>
  <c r="AH310" i="1"/>
  <c r="AE310" i="1"/>
  <c r="AD310" i="1"/>
  <c r="AB310" i="1"/>
  <c r="N310" i="1"/>
  <c r="H310" i="1"/>
  <c r="A310" i="1"/>
  <c r="AJ309" i="1"/>
  <c r="AI309" i="1"/>
  <c r="AH309" i="1"/>
  <c r="AE309" i="1"/>
  <c r="AD309" i="1"/>
  <c r="AB309" i="1"/>
  <c r="N309" i="1"/>
  <c r="H309" i="1"/>
  <c r="A309" i="1"/>
  <c r="AJ308" i="1"/>
  <c r="AI308" i="1"/>
  <c r="AH308" i="1"/>
  <c r="AE308" i="1"/>
  <c r="AD308" i="1"/>
  <c r="AB308" i="1"/>
  <c r="N308" i="1"/>
  <c r="H308" i="1"/>
  <c r="A308" i="1"/>
  <c r="AJ307" i="1"/>
  <c r="AI307" i="1"/>
  <c r="AH307" i="1"/>
  <c r="AE307" i="1"/>
  <c r="AD307" i="1"/>
  <c r="AB307" i="1"/>
  <c r="N307" i="1"/>
  <c r="H307" i="1"/>
  <c r="A307" i="1"/>
  <c r="AJ306" i="1"/>
  <c r="AI306" i="1"/>
  <c r="AH306" i="1"/>
  <c r="AE306" i="1"/>
  <c r="AD306" i="1"/>
  <c r="AB306" i="1"/>
  <c r="N306" i="1"/>
  <c r="H306" i="1"/>
  <c r="A306" i="1"/>
  <c r="AJ305" i="1"/>
  <c r="AI305" i="1"/>
  <c r="AH305" i="1"/>
  <c r="AE305" i="1"/>
  <c r="AD305" i="1"/>
  <c r="AB305" i="1"/>
  <c r="N305" i="1"/>
  <c r="H305" i="1"/>
  <c r="A305" i="1"/>
  <c r="AJ304" i="1"/>
  <c r="AI304" i="1"/>
  <c r="AH304" i="1"/>
  <c r="AE304" i="1"/>
  <c r="AD304" i="1"/>
  <c r="AB304" i="1"/>
  <c r="N304" i="1"/>
  <c r="H304" i="1"/>
  <c r="A304" i="1"/>
  <c r="AJ303" i="1"/>
  <c r="AI303" i="1"/>
  <c r="AH303" i="1"/>
  <c r="AE303" i="1"/>
  <c r="AD303" i="1"/>
  <c r="AB303" i="1"/>
  <c r="N303" i="1"/>
  <c r="H303" i="1"/>
  <c r="A303" i="1"/>
  <c r="AJ302" i="1"/>
  <c r="AI302" i="1"/>
  <c r="AH302" i="1"/>
  <c r="AE302" i="1"/>
  <c r="AD302" i="1"/>
  <c r="AB302" i="1"/>
  <c r="N302" i="1"/>
  <c r="H302" i="1"/>
  <c r="A302" i="1"/>
  <c r="AJ301" i="1"/>
  <c r="AI301" i="1"/>
  <c r="AH301" i="1"/>
  <c r="AE301" i="1"/>
  <c r="AD301" i="1"/>
  <c r="AB301" i="1"/>
  <c r="N301" i="1"/>
  <c r="H301" i="1"/>
  <c r="A301" i="1"/>
  <c r="AJ300" i="1"/>
  <c r="AI300" i="1"/>
  <c r="AH300" i="1"/>
  <c r="AE300" i="1"/>
  <c r="AD300" i="1"/>
  <c r="AB300" i="1"/>
  <c r="N300" i="1"/>
  <c r="H300" i="1"/>
  <c r="A300" i="1"/>
  <c r="AJ299" i="1"/>
  <c r="AI299" i="1"/>
  <c r="AH299" i="1"/>
  <c r="AE299" i="1"/>
  <c r="AD299" i="1"/>
  <c r="AB299" i="1"/>
  <c r="N299" i="1"/>
  <c r="H299" i="1"/>
  <c r="A299" i="1"/>
  <c r="AJ298" i="1"/>
  <c r="AI298" i="1"/>
  <c r="AH298" i="1"/>
  <c r="AE298" i="1"/>
  <c r="AD298" i="1"/>
  <c r="AB298" i="1"/>
  <c r="N298" i="1"/>
  <c r="H298" i="1"/>
  <c r="A298" i="1"/>
  <c r="AJ297" i="1"/>
  <c r="AI297" i="1"/>
  <c r="AH297" i="1"/>
  <c r="AE297" i="1"/>
  <c r="AD297" i="1"/>
  <c r="AB297" i="1"/>
  <c r="N297" i="1"/>
  <c r="H297" i="1"/>
  <c r="A297" i="1"/>
  <c r="AJ296" i="1"/>
  <c r="AI296" i="1"/>
  <c r="AH296" i="1"/>
  <c r="AE296" i="1"/>
  <c r="AD296" i="1"/>
  <c r="AB296" i="1"/>
  <c r="H296" i="1"/>
  <c r="AB295" i="1"/>
  <c r="AB294" i="1"/>
  <c r="A293" i="1"/>
  <c r="AJ291" i="1"/>
  <c r="AI291" i="1"/>
  <c r="AH291" i="1"/>
  <c r="AE291" i="1"/>
  <c r="AD291" i="1"/>
  <c r="AB291" i="1"/>
  <c r="N291" i="1"/>
  <c r="H291" i="1"/>
  <c r="A291" i="1"/>
  <c r="AJ290" i="1"/>
  <c r="AI290" i="1"/>
  <c r="AH290" i="1"/>
  <c r="AE290" i="1"/>
  <c r="AD290" i="1"/>
  <c r="AB290" i="1"/>
  <c r="N290" i="1"/>
  <c r="H290" i="1"/>
  <c r="A290" i="1"/>
  <c r="AJ289" i="1"/>
  <c r="AI289" i="1"/>
  <c r="AH289" i="1"/>
  <c r="AE289" i="1"/>
  <c r="AD289" i="1"/>
  <c r="AB289" i="1"/>
  <c r="N289" i="1"/>
  <c r="H289" i="1"/>
  <c r="A289" i="1"/>
  <c r="AJ288" i="1"/>
  <c r="AI288" i="1"/>
  <c r="AH288" i="1"/>
  <c r="AE288" i="1"/>
  <c r="AD288" i="1"/>
  <c r="AB288" i="1"/>
  <c r="N288" i="1"/>
  <c r="H288" i="1"/>
  <c r="A288" i="1"/>
  <c r="AJ287" i="1"/>
  <c r="AI287" i="1"/>
  <c r="AH287" i="1"/>
  <c r="AE287" i="1"/>
  <c r="AD287" i="1"/>
  <c r="AB287" i="1"/>
  <c r="N287" i="1"/>
  <c r="H287" i="1"/>
  <c r="A287" i="1"/>
  <c r="AJ286" i="1"/>
  <c r="AI286" i="1"/>
  <c r="AH286" i="1"/>
  <c r="AE286" i="1"/>
  <c r="AD286" i="1"/>
  <c r="AB286" i="1"/>
  <c r="N286" i="1"/>
  <c r="H286" i="1"/>
  <c r="A286" i="1"/>
  <c r="AJ285" i="1"/>
  <c r="AI285" i="1"/>
  <c r="AH285" i="1"/>
  <c r="AE285" i="1"/>
  <c r="AD285" i="1"/>
  <c r="AB285" i="1"/>
  <c r="N285" i="1"/>
  <c r="H285" i="1"/>
  <c r="A285" i="1"/>
  <c r="AJ284" i="1"/>
  <c r="AI284" i="1"/>
  <c r="AH284" i="1"/>
  <c r="AE284" i="1"/>
  <c r="AD284" i="1"/>
  <c r="AB284" i="1"/>
  <c r="N284" i="1"/>
  <c r="H284" i="1"/>
  <c r="A284" i="1"/>
  <c r="AJ283" i="1"/>
  <c r="AI283" i="1"/>
  <c r="AH283" i="1"/>
  <c r="AE283" i="1"/>
  <c r="AD283" i="1"/>
  <c r="AB283" i="1"/>
  <c r="N283" i="1"/>
  <c r="H283" i="1"/>
  <c r="A283" i="1"/>
  <c r="AJ282" i="1"/>
  <c r="AI282" i="1"/>
  <c r="AH282" i="1"/>
  <c r="AE282" i="1"/>
  <c r="AD282" i="1"/>
  <c r="AB282" i="1"/>
  <c r="N282" i="1"/>
  <c r="H282" i="1"/>
  <c r="A282" i="1"/>
  <c r="AJ281" i="1"/>
  <c r="AI281" i="1"/>
  <c r="AH281" i="1"/>
  <c r="AE281" i="1"/>
  <c r="AD281" i="1"/>
  <c r="AB281" i="1"/>
  <c r="N281" i="1"/>
  <c r="H281" i="1"/>
  <c r="A281" i="1"/>
  <c r="AJ280" i="1"/>
  <c r="AI280" i="1"/>
  <c r="AH280" i="1"/>
  <c r="AE280" i="1"/>
  <c r="AD280" i="1"/>
  <c r="AB280" i="1"/>
  <c r="N280" i="1"/>
  <c r="H280" i="1"/>
  <c r="A280" i="1"/>
  <c r="AJ279" i="1"/>
  <c r="AI279" i="1"/>
  <c r="AH279" i="1"/>
  <c r="AE279" i="1"/>
  <c r="AD279" i="1"/>
  <c r="AB279" i="1"/>
  <c r="N279" i="1"/>
  <c r="H279" i="1"/>
  <c r="A279" i="1"/>
  <c r="AJ278" i="1"/>
  <c r="AI278" i="1"/>
  <c r="AH278" i="1"/>
  <c r="AE278" i="1"/>
  <c r="AD278" i="1"/>
  <c r="AB278" i="1"/>
  <c r="N278" i="1"/>
  <c r="H278" i="1"/>
  <c r="A278" i="1"/>
  <c r="AJ277" i="1"/>
  <c r="AI277" i="1"/>
  <c r="AH277" i="1"/>
  <c r="AE277" i="1"/>
  <c r="AD277" i="1"/>
  <c r="AB277" i="1"/>
  <c r="N277" i="1"/>
  <c r="H277" i="1"/>
  <c r="A277" i="1"/>
  <c r="AJ276" i="1"/>
  <c r="AI276" i="1"/>
  <c r="AH276" i="1"/>
  <c r="AE276" i="1"/>
  <c r="AD276" i="1"/>
  <c r="AB276" i="1"/>
  <c r="N276" i="1"/>
  <c r="H276" i="1"/>
  <c r="A276" i="1"/>
  <c r="AJ275" i="1"/>
  <c r="AI275" i="1"/>
  <c r="AH275" i="1"/>
  <c r="AE275" i="1"/>
  <c r="AD275" i="1"/>
  <c r="AB275" i="1"/>
  <c r="N275" i="1"/>
  <c r="H275" i="1"/>
  <c r="A275" i="1"/>
  <c r="AJ274" i="1"/>
  <c r="AI274" i="1"/>
  <c r="AH274" i="1"/>
  <c r="AE274" i="1"/>
  <c r="AD274" i="1"/>
  <c r="AB274" i="1"/>
  <c r="N274" i="1"/>
  <c r="H274" i="1"/>
  <c r="A274" i="1"/>
  <c r="AJ273" i="1"/>
  <c r="AI273" i="1"/>
  <c r="AH273" i="1"/>
  <c r="AE273" i="1"/>
  <c r="AD273" i="1"/>
  <c r="AB273" i="1"/>
  <c r="N273" i="1"/>
  <c r="H273" i="1"/>
  <c r="A273" i="1"/>
  <c r="AJ272" i="1"/>
  <c r="AI272" i="1"/>
  <c r="AH272" i="1"/>
  <c r="AE272" i="1"/>
  <c r="AD272" i="1"/>
  <c r="AB272" i="1"/>
  <c r="H272" i="1"/>
  <c r="AB271" i="1"/>
  <c r="AB270" i="1"/>
  <c r="A269" i="1"/>
  <c r="AJ267" i="1"/>
  <c r="AI267" i="1"/>
  <c r="AH267" i="1"/>
  <c r="AE267" i="1"/>
  <c r="AD267" i="1"/>
  <c r="AB267" i="1"/>
  <c r="N267" i="1"/>
  <c r="H267" i="1"/>
  <c r="A267" i="1"/>
  <c r="AJ266" i="1"/>
  <c r="AI266" i="1"/>
  <c r="AH266" i="1"/>
  <c r="AE266" i="1"/>
  <c r="AD266" i="1"/>
  <c r="AB266" i="1"/>
  <c r="N266" i="1"/>
  <c r="H266" i="1"/>
  <c r="A266" i="1"/>
  <c r="AJ265" i="1"/>
  <c r="AI265" i="1"/>
  <c r="AH265" i="1"/>
  <c r="AE265" i="1"/>
  <c r="AD265" i="1"/>
  <c r="AB265" i="1"/>
  <c r="N265" i="1"/>
  <c r="H265" i="1"/>
  <c r="A265" i="1"/>
  <c r="AJ264" i="1"/>
  <c r="AI264" i="1"/>
  <c r="AH264" i="1"/>
  <c r="AE264" i="1"/>
  <c r="AD264" i="1"/>
  <c r="AB264" i="1"/>
  <c r="N264" i="1"/>
  <c r="H264" i="1"/>
  <c r="A264" i="1"/>
  <c r="AJ263" i="1"/>
  <c r="AI263" i="1"/>
  <c r="AH263" i="1"/>
  <c r="AE263" i="1"/>
  <c r="AD263" i="1"/>
  <c r="AB263" i="1"/>
  <c r="N263" i="1"/>
  <c r="H263" i="1"/>
  <c r="A263" i="1"/>
  <c r="AJ262" i="1"/>
  <c r="AI262" i="1"/>
  <c r="AH262" i="1"/>
  <c r="AE262" i="1"/>
  <c r="AD262" i="1"/>
  <c r="AB262" i="1"/>
  <c r="N262" i="1"/>
  <c r="H262" i="1"/>
  <c r="A262" i="1"/>
  <c r="AJ261" i="1"/>
  <c r="AI261" i="1"/>
  <c r="AH261" i="1"/>
  <c r="AE261" i="1"/>
  <c r="AD261" i="1"/>
  <c r="AB261" i="1"/>
  <c r="N261" i="1"/>
  <c r="H261" i="1"/>
  <c r="A261" i="1"/>
  <c r="AJ260" i="1"/>
  <c r="AI260" i="1"/>
  <c r="AH260" i="1"/>
  <c r="AE260" i="1"/>
  <c r="AD260" i="1"/>
  <c r="AB260" i="1"/>
  <c r="N260" i="1"/>
  <c r="H260" i="1"/>
  <c r="A260" i="1"/>
  <c r="AJ259" i="1"/>
  <c r="AI259" i="1"/>
  <c r="AH259" i="1"/>
  <c r="AE259" i="1"/>
  <c r="AD259" i="1"/>
  <c r="AB259" i="1"/>
  <c r="N259" i="1"/>
  <c r="H259" i="1"/>
  <c r="A259" i="1"/>
  <c r="AJ258" i="1"/>
  <c r="AI258" i="1"/>
  <c r="AH258" i="1"/>
  <c r="AE258" i="1"/>
  <c r="AD258" i="1"/>
  <c r="AB258" i="1"/>
  <c r="N258" i="1"/>
  <c r="H258" i="1"/>
  <c r="A258" i="1"/>
  <c r="AJ257" i="1"/>
  <c r="AI257" i="1"/>
  <c r="AH257" i="1"/>
  <c r="AE257" i="1"/>
  <c r="AD257" i="1"/>
  <c r="AB257" i="1"/>
  <c r="N257" i="1"/>
  <c r="H257" i="1"/>
  <c r="A257" i="1"/>
  <c r="AJ256" i="1"/>
  <c r="AI256" i="1"/>
  <c r="AH256" i="1"/>
  <c r="AE256" i="1"/>
  <c r="AD256" i="1"/>
  <c r="AB256" i="1"/>
  <c r="N256" i="1"/>
  <c r="H256" i="1"/>
  <c r="A256" i="1"/>
  <c r="AJ255" i="1"/>
  <c r="AI255" i="1"/>
  <c r="AH255" i="1"/>
  <c r="AE255" i="1"/>
  <c r="AD255" i="1"/>
  <c r="AB255" i="1"/>
  <c r="N255" i="1"/>
  <c r="H255" i="1"/>
  <c r="A255" i="1"/>
  <c r="AJ254" i="1"/>
  <c r="AI254" i="1"/>
  <c r="AH254" i="1"/>
  <c r="AE254" i="1"/>
  <c r="AD254" i="1"/>
  <c r="AB254" i="1"/>
  <c r="N254" i="1"/>
  <c r="H254" i="1"/>
  <c r="A254" i="1"/>
  <c r="AJ253" i="1"/>
  <c r="AI253" i="1"/>
  <c r="AH253" i="1"/>
  <c r="AE253" i="1"/>
  <c r="AD253" i="1"/>
  <c r="AB253" i="1"/>
  <c r="N253" i="1"/>
  <c r="H253" i="1"/>
  <c r="A253" i="1"/>
  <c r="AJ252" i="1"/>
  <c r="AI252" i="1"/>
  <c r="AH252" i="1"/>
  <c r="AE252" i="1"/>
  <c r="AD252" i="1"/>
  <c r="AB252" i="1"/>
  <c r="N252" i="1"/>
  <c r="H252" i="1"/>
  <c r="A252" i="1"/>
  <c r="AJ251" i="1"/>
  <c r="AI251" i="1"/>
  <c r="AH251" i="1"/>
  <c r="AE251" i="1"/>
  <c r="AD251" i="1"/>
  <c r="AB251" i="1"/>
  <c r="N251" i="1"/>
  <c r="H251" i="1"/>
  <c r="A251" i="1"/>
  <c r="AJ250" i="1"/>
  <c r="AI250" i="1"/>
  <c r="AH250" i="1"/>
  <c r="AE250" i="1"/>
  <c r="AD250" i="1"/>
  <c r="AB250" i="1"/>
  <c r="N250" i="1"/>
  <c r="H250" i="1"/>
  <c r="A250" i="1"/>
  <c r="AJ249" i="1"/>
  <c r="AI249" i="1"/>
  <c r="AH249" i="1"/>
  <c r="AE249" i="1"/>
  <c r="AD249" i="1"/>
  <c r="AB249" i="1"/>
  <c r="N249" i="1"/>
  <c r="H249" i="1"/>
  <c r="A249" i="1"/>
  <c r="AJ248" i="1"/>
  <c r="AI248" i="1"/>
  <c r="AH248" i="1"/>
  <c r="AE248" i="1"/>
  <c r="AD248" i="1"/>
  <c r="AB248" i="1"/>
  <c r="H248" i="1"/>
  <c r="AB247" i="1"/>
  <c r="AB246" i="1"/>
  <c r="A245" i="1"/>
  <c r="AJ243" i="1"/>
  <c r="AI243" i="1"/>
  <c r="AH243" i="1"/>
  <c r="AE243" i="1"/>
  <c r="AD243" i="1"/>
  <c r="AB243" i="1"/>
  <c r="N243" i="1"/>
  <c r="H243" i="1"/>
  <c r="A243" i="1"/>
  <c r="AJ242" i="1"/>
  <c r="AI242" i="1"/>
  <c r="AH242" i="1"/>
  <c r="AE242" i="1"/>
  <c r="AD242" i="1"/>
  <c r="AB242" i="1"/>
  <c r="N242" i="1"/>
  <c r="H242" i="1"/>
  <c r="A242" i="1"/>
  <c r="AJ241" i="1"/>
  <c r="AI241" i="1"/>
  <c r="AH241" i="1"/>
  <c r="AE241" i="1"/>
  <c r="AD241" i="1"/>
  <c r="AB241" i="1"/>
  <c r="N241" i="1"/>
  <c r="H241" i="1"/>
  <c r="A241" i="1"/>
  <c r="AJ240" i="1"/>
  <c r="AI240" i="1"/>
  <c r="AH240" i="1"/>
  <c r="AE240" i="1"/>
  <c r="AD240" i="1"/>
  <c r="AB240" i="1"/>
  <c r="N240" i="1"/>
  <c r="H240" i="1"/>
  <c r="A240" i="1"/>
  <c r="AJ239" i="1"/>
  <c r="AI239" i="1"/>
  <c r="AH239" i="1"/>
  <c r="AE239" i="1"/>
  <c r="AD239" i="1"/>
  <c r="AB239" i="1"/>
  <c r="N239" i="1"/>
  <c r="H239" i="1"/>
  <c r="A239" i="1"/>
  <c r="AJ238" i="1"/>
  <c r="AI238" i="1"/>
  <c r="AH238" i="1"/>
  <c r="AE238" i="1"/>
  <c r="AD238" i="1"/>
  <c r="AB238" i="1"/>
  <c r="N238" i="1"/>
  <c r="H238" i="1"/>
  <c r="A238" i="1"/>
  <c r="AJ237" i="1"/>
  <c r="AI237" i="1"/>
  <c r="AH237" i="1"/>
  <c r="AE237" i="1"/>
  <c r="AD237" i="1"/>
  <c r="AB237" i="1"/>
  <c r="N237" i="1"/>
  <c r="H237" i="1"/>
  <c r="A237" i="1"/>
  <c r="AJ236" i="1"/>
  <c r="AI236" i="1"/>
  <c r="AH236" i="1"/>
  <c r="AE236" i="1"/>
  <c r="AD236" i="1"/>
  <c r="AB236" i="1"/>
  <c r="N236" i="1"/>
  <c r="H236" i="1"/>
  <c r="A236" i="1"/>
  <c r="AJ235" i="1"/>
  <c r="AI235" i="1"/>
  <c r="AH235" i="1"/>
  <c r="AE235" i="1"/>
  <c r="AD235" i="1"/>
  <c r="AB235" i="1"/>
  <c r="N235" i="1"/>
  <c r="H235" i="1"/>
  <c r="A235" i="1"/>
  <c r="AJ234" i="1"/>
  <c r="AI234" i="1"/>
  <c r="AH234" i="1"/>
  <c r="AE234" i="1"/>
  <c r="AD234" i="1"/>
  <c r="AB234" i="1"/>
  <c r="N234" i="1"/>
  <c r="H234" i="1"/>
  <c r="A234" i="1"/>
  <c r="AJ233" i="1"/>
  <c r="AI233" i="1"/>
  <c r="AH233" i="1"/>
  <c r="AE233" i="1"/>
  <c r="AD233" i="1"/>
  <c r="AB233" i="1"/>
  <c r="N233" i="1"/>
  <c r="H233" i="1"/>
  <c r="A233" i="1"/>
  <c r="AJ232" i="1"/>
  <c r="AI232" i="1"/>
  <c r="AH232" i="1"/>
  <c r="AE232" i="1"/>
  <c r="AD232" i="1"/>
  <c r="AB232" i="1"/>
  <c r="N232" i="1"/>
  <c r="H232" i="1"/>
  <c r="A232" i="1"/>
  <c r="AJ231" i="1"/>
  <c r="AI231" i="1"/>
  <c r="AH231" i="1"/>
  <c r="AE231" i="1"/>
  <c r="AD231" i="1"/>
  <c r="AB231" i="1"/>
  <c r="N231" i="1"/>
  <c r="H231" i="1"/>
  <c r="A231" i="1"/>
  <c r="AJ230" i="1"/>
  <c r="AI230" i="1"/>
  <c r="AH230" i="1"/>
  <c r="AE230" i="1"/>
  <c r="AD230" i="1"/>
  <c r="AB230" i="1"/>
  <c r="N230" i="1"/>
  <c r="H230" i="1"/>
  <c r="A230" i="1"/>
  <c r="AJ229" i="1"/>
  <c r="AI229" i="1"/>
  <c r="AH229" i="1"/>
  <c r="AE229" i="1"/>
  <c r="AD229" i="1"/>
  <c r="AB229" i="1"/>
  <c r="N229" i="1"/>
  <c r="H229" i="1"/>
  <c r="A229" i="1"/>
  <c r="AJ228" i="1"/>
  <c r="AI228" i="1"/>
  <c r="AH228" i="1"/>
  <c r="AE228" i="1"/>
  <c r="AD228" i="1"/>
  <c r="AB228" i="1"/>
  <c r="N228" i="1"/>
  <c r="H228" i="1"/>
  <c r="A228" i="1"/>
  <c r="AJ227" i="1"/>
  <c r="AI227" i="1"/>
  <c r="AH227" i="1"/>
  <c r="AE227" i="1"/>
  <c r="AD227" i="1"/>
  <c r="AB227" i="1"/>
  <c r="N227" i="1"/>
  <c r="H227" i="1"/>
  <c r="A227" i="1"/>
  <c r="AJ226" i="1"/>
  <c r="AI226" i="1"/>
  <c r="AH226" i="1"/>
  <c r="AE226" i="1"/>
  <c r="AD226" i="1"/>
  <c r="AB226" i="1"/>
  <c r="N226" i="1"/>
  <c r="H226" i="1"/>
  <c r="A226" i="1"/>
  <c r="AJ225" i="1"/>
  <c r="AI225" i="1"/>
  <c r="AH225" i="1"/>
  <c r="AE225" i="1"/>
  <c r="AD225" i="1"/>
  <c r="AB225" i="1"/>
  <c r="N225" i="1"/>
  <c r="H225" i="1"/>
  <c r="A225" i="1"/>
  <c r="AJ224" i="1"/>
  <c r="AI224" i="1"/>
  <c r="AH224" i="1"/>
  <c r="AE224" i="1"/>
  <c r="AD224" i="1"/>
  <c r="AB224" i="1"/>
  <c r="H224" i="1"/>
  <c r="AB223" i="1"/>
  <c r="AB222" i="1"/>
  <c r="B221" i="1"/>
  <c r="A221" i="1"/>
  <c r="AJ219" i="1"/>
  <c r="AI219" i="1"/>
  <c r="AH219" i="1"/>
  <c r="AE219" i="1"/>
  <c r="AD219" i="1"/>
  <c r="AB219" i="1"/>
  <c r="N219" i="1"/>
  <c r="H219" i="1"/>
  <c r="A219" i="1"/>
  <c r="AJ218" i="1"/>
  <c r="AI218" i="1"/>
  <c r="AH218" i="1"/>
  <c r="AE218" i="1"/>
  <c r="AD218" i="1"/>
  <c r="AB218" i="1"/>
  <c r="N218" i="1"/>
  <c r="H218" i="1"/>
  <c r="A218" i="1"/>
  <c r="AJ217" i="1"/>
  <c r="AI217" i="1"/>
  <c r="AH217" i="1"/>
  <c r="AE217" i="1"/>
  <c r="AD217" i="1"/>
  <c r="AB217" i="1"/>
  <c r="N217" i="1"/>
  <c r="H217" i="1"/>
  <c r="A217" i="1"/>
  <c r="AJ216" i="1"/>
  <c r="AI216" i="1"/>
  <c r="AH216" i="1"/>
  <c r="AE216" i="1"/>
  <c r="AD216" i="1"/>
  <c r="AB216" i="1"/>
  <c r="N216" i="1"/>
  <c r="H216" i="1"/>
  <c r="A216" i="1"/>
  <c r="AJ215" i="1"/>
  <c r="AI215" i="1"/>
  <c r="AH215" i="1"/>
  <c r="AE215" i="1"/>
  <c r="AD215" i="1"/>
  <c r="AB215" i="1"/>
  <c r="N215" i="1"/>
  <c r="H215" i="1"/>
  <c r="A215" i="1"/>
  <c r="AJ214" i="1"/>
  <c r="AI214" i="1"/>
  <c r="AH214" i="1"/>
  <c r="AE214" i="1"/>
  <c r="AD214" i="1"/>
  <c r="AB214" i="1"/>
  <c r="N214" i="1"/>
  <c r="H214" i="1"/>
  <c r="A214" i="1"/>
  <c r="AJ213" i="1"/>
  <c r="AI213" i="1"/>
  <c r="AH213" i="1"/>
  <c r="AE213" i="1"/>
  <c r="AD213" i="1"/>
  <c r="AB213" i="1"/>
  <c r="N213" i="1"/>
  <c r="H213" i="1"/>
  <c r="A213" i="1"/>
  <c r="AJ212" i="1"/>
  <c r="AI212" i="1"/>
  <c r="AH212" i="1"/>
  <c r="AE212" i="1"/>
  <c r="AD212" i="1"/>
  <c r="AB212" i="1"/>
  <c r="N212" i="1"/>
  <c r="H212" i="1"/>
  <c r="A212" i="1"/>
  <c r="AJ211" i="1"/>
  <c r="AI211" i="1"/>
  <c r="AH211" i="1"/>
  <c r="AE211" i="1"/>
  <c r="AD211" i="1"/>
  <c r="AB211" i="1"/>
  <c r="N211" i="1"/>
  <c r="H211" i="1"/>
  <c r="A211" i="1"/>
  <c r="AJ210" i="1"/>
  <c r="AI210" i="1"/>
  <c r="AH210" i="1"/>
  <c r="AE210" i="1"/>
  <c r="AD210" i="1"/>
  <c r="AB210" i="1"/>
  <c r="N210" i="1"/>
  <c r="H210" i="1"/>
  <c r="A210" i="1"/>
  <c r="AJ209" i="1"/>
  <c r="AI209" i="1"/>
  <c r="AH209" i="1"/>
  <c r="AE209" i="1"/>
  <c r="AD209" i="1"/>
  <c r="AB209" i="1"/>
  <c r="N209" i="1"/>
  <c r="H209" i="1"/>
  <c r="A209" i="1"/>
  <c r="AJ208" i="1"/>
  <c r="AI208" i="1"/>
  <c r="AH208" i="1"/>
  <c r="AE208" i="1"/>
  <c r="AD208" i="1"/>
  <c r="AB208" i="1"/>
  <c r="N208" i="1"/>
  <c r="H208" i="1"/>
  <c r="A208" i="1"/>
  <c r="AJ207" i="1"/>
  <c r="AI207" i="1"/>
  <c r="AH207" i="1"/>
  <c r="AE207" i="1"/>
  <c r="AD207" i="1"/>
  <c r="AB207" i="1"/>
  <c r="N207" i="1"/>
  <c r="H207" i="1"/>
  <c r="A207" i="1"/>
  <c r="AJ206" i="1"/>
  <c r="AI206" i="1"/>
  <c r="AH206" i="1"/>
  <c r="AE206" i="1"/>
  <c r="AD206" i="1"/>
  <c r="AB206" i="1"/>
  <c r="N206" i="1"/>
  <c r="H206" i="1"/>
  <c r="A206" i="1"/>
  <c r="AJ205" i="1"/>
  <c r="AI205" i="1"/>
  <c r="AH205" i="1"/>
  <c r="AE205" i="1"/>
  <c r="AD205" i="1"/>
  <c r="AB205" i="1"/>
  <c r="N205" i="1"/>
  <c r="H205" i="1"/>
  <c r="A205" i="1"/>
  <c r="AJ204" i="1"/>
  <c r="AI204" i="1"/>
  <c r="AH204" i="1"/>
  <c r="AE204" i="1"/>
  <c r="AD204" i="1"/>
  <c r="AB204" i="1"/>
  <c r="N204" i="1"/>
  <c r="H204" i="1"/>
  <c r="A204" i="1"/>
  <c r="AJ203" i="1"/>
  <c r="AI203" i="1"/>
  <c r="AH203" i="1"/>
  <c r="AE203" i="1"/>
  <c r="AD203" i="1"/>
  <c r="AB203" i="1"/>
  <c r="N203" i="1"/>
  <c r="H203" i="1"/>
  <c r="A203" i="1"/>
  <c r="AJ202" i="1"/>
  <c r="AI202" i="1"/>
  <c r="AH202" i="1"/>
  <c r="AE202" i="1"/>
  <c r="AD202" i="1"/>
  <c r="AB202" i="1"/>
  <c r="N202" i="1"/>
  <c r="H202" i="1"/>
  <c r="A202" i="1"/>
  <c r="AJ201" i="1"/>
  <c r="AI201" i="1"/>
  <c r="AH201" i="1"/>
  <c r="AE201" i="1"/>
  <c r="AD201" i="1"/>
  <c r="AB201" i="1"/>
  <c r="N201" i="1"/>
  <c r="H201" i="1"/>
  <c r="A201" i="1"/>
  <c r="AJ200" i="1"/>
  <c r="AI200" i="1"/>
  <c r="AH200" i="1"/>
  <c r="AE200" i="1"/>
  <c r="AD200" i="1"/>
  <c r="AB200" i="1"/>
  <c r="N200" i="1"/>
  <c r="H200" i="1"/>
  <c r="AB199" i="1"/>
  <c r="AB198" i="1"/>
  <c r="B197" i="1"/>
  <c r="A197" i="1"/>
  <c r="AJ195" i="1"/>
  <c r="AI195" i="1"/>
  <c r="AH195" i="1"/>
  <c r="AE195" i="1"/>
  <c r="AD195" i="1"/>
  <c r="AB195" i="1"/>
  <c r="N195" i="1"/>
  <c r="H195" i="1"/>
  <c r="A195" i="1"/>
  <c r="AJ194" i="1"/>
  <c r="AI194" i="1"/>
  <c r="AH194" i="1"/>
  <c r="AE194" i="1"/>
  <c r="AD194" i="1"/>
  <c r="AB194" i="1"/>
  <c r="N194" i="1"/>
  <c r="H194" i="1"/>
  <c r="A194" i="1"/>
  <c r="AJ193" i="1"/>
  <c r="AI193" i="1"/>
  <c r="AH193" i="1"/>
  <c r="AE193" i="1"/>
  <c r="AD193" i="1"/>
  <c r="AB193" i="1"/>
  <c r="N193" i="1"/>
  <c r="H193" i="1"/>
  <c r="A193" i="1"/>
  <c r="AJ192" i="1"/>
  <c r="AI192" i="1"/>
  <c r="AH192" i="1"/>
  <c r="AE192" i="1"/>
  <c r="AD192" i="1"/>
  <c r="AB192" i="1"/>
  <c r="N192" i="1"/>
  <c r="H192" i="1"/>
  <c r="A192" i="1"/>
  <c r="AJ191" i="1"/>
  <c r="AI191" i="1"/>
  <c r="AH191" i="1"/>
  <c r="AE191" i="1"/>
  <c r="AD191" i="1"/>
  <c r="AB191" i="1"/>
  <c r="N191" i="1"/>
  <c r="H191" i="1"/>
  <c r="A191" i="1"/>
  <c r="AJ190" i="1"/>
  <c r="AI190" i="1"/>
  <c r="AH190" i="1"/>
  <c r="AE190" i="1"/>
  <c r="AD190" i="1"/>
  <c r="AB190" i="1"/>
  <c r="N190" i="1"/>
  <c r="H190" i="1"/>
  <c r="A190" i="1"/>
  <c r="AJ189" i="1"/>
  <c r="AI189" i="1"/>
  <c r="AH189" i="1"/>
  <c r="AE189" i="1"/>
  <c r="AD189" i="1"/>
  <c r="AB189" i="1"/>
  <c r="N189" i="1"/>
  <c r="H189" i="1"/>
  <c r="A189" i="1"/>
  <c r="AJ188" i="1"/>
  <c r="AI188" i="1"/>
  <c r="AH188" i="1"/>
  <c r="AE188" i="1"/>
  <c r="AD188" i="1"/>
  <c r="AB188" i="1"/>
  <c r="N188" i="1"/>
  <c r="H188" i="1"/>
  <c r="A188" i="1"/>
  <c r="AJ187" i="1"/>
  <c r="AI187" i="1"/>
  <c r="AH187" i="1"/>
  <c r="AE187" i="1"/>
  <c r="AD187" i="1"/>
  <c r="AB187" i="1"/>
  <c r="N187" i="1"/>
  <c r="H187" i="1"/>
  <c r="A187" i="1"/>
  <c r="AJ186" i="1"/>
  <c r="AI186" i="1"/>
  <c r="AH186" i="1"/>
  <c r="AE186" i="1"/>
  <c r="AD186" i="1"/>
  <c r="AB186" i="1"/>
  <c r="N186" i="1"/>
  <c r="H186" i="1"/>
  <c r="A186" i="1"/>
  <c r="AJ185" i="1"/>
  <c r="AI185" i="1"/>
  <c r="AH185" i="1"/>
  <c r="AE185" i="1"/>
  <c r="AD185" i="1"/>
  <c r="AB185" i="1"/>
  <c r="N185" i="1"/>
  <c r="H185" i="1"/>
  <c r="A185" i="1"/>
  <c r="AJ184" i="1"/>
  <c r="AI184" i="1"/>
  <c r="AH184" i="1"/>
  <c r="AE184" i="1"/>
  <c r="AD184" i="1"/>
  <c r="AB184" i="1"/>
  <c r="N184" i="1"/>
  <c r="H184" i="1"/>
  <c r="A184" i="1"/>
  <c r="AJ183" i="1"/>
  <c r="AI183" i="1"/>
  <c r="AH183" i="1"/>
  <c r="AE183" i="1"/>
  <c r="AD183" i="1"/>
  <c r="AB183" i="1"/>
  <c r="N183" i="1"/>
  <c r="H183" i="1"/>
  <c r="A183" i="1"/>
  <c r="AJ182" i="1"/>
  <c r="AI182" i="1"/>
  <c r="AH182" i="1"/>
  <c r="AE182" i="1"/>
  <c r="AD182" i="1"/>
  <c r="AB182" i="1"/>
  <c r="N182" i="1"/>
  <c r="H182" i="1"/>
  <c r="A182" i="1"/>
  <c r="AJ181" i="1"/>
  <c r="AI181" i="1"/>
  <c r="AH181" i="1"/>
  <c r="AE181" i="1"/>
  <c r="AD181" i="1"/>
  <c r="AB181" i="1"/>
  <c r="N181" i="1"/>
  <c r="H181" i="1"/>
  <c r="A181" i="1"/>
  <c r="AJ180" i="1"/>
  <c r="AI180" i="1"/>
  <c r="AH180" i="1"/>
  <c r="AE180" i="1"/>
  <c r="AD180" i="1"/>
  <c r="AB180" i="1"/>
  <c r="N180" i="1"/>
  <c r="H180" i="1"/>
  <c r="A180" i="1"/>
  <c r="AJ179" i="1"/>
  <c r="AI179" i="1"/>
  <c r="AH179" i="1"/>
  <c r="AE179" i="1"/>
  <c r="AD179" i="1"/>
  <c r="AB179" i="1"/>
  <c r="N179" i="1"/>
  <c r="H179" i="1"/>
  <c r="A179" i="1"/>
  <c r="AJ178" i="1"/>
  <c r="AI178" i="1"/>
  <c r="AH178" i="1"/>
  <c r="AE178" i="1"/>
  <c r="AD178" i="1"/>
  <c r="AB178" i="1"/>
  <c r="N178" i="1"/>
  <c r="H178" i="1"/>
  <c r="A178" i="1"/>
  <c r="AJ177" i="1"/>
  <c r="AI177" i="1"/>
  <c r="AH177" i="1"/>
  <c r="AE177" i="1"/>
  <c r="AD177" i="1"/>
  <c r="AB177" i="1"/>
  <c r="N177" i="1"/>
  <c r="H177" i="1"/>
  <c r="A177" i="1"/>
  <c r="AJ176" i="1"/>
  <c r="AI176" i="1"/>
  <c r="AH176" i="1"/>
  <c r="AE176" i="1"/>
  <c r="AD176" i="1"/>
  <c r="AB176" i="1"/>
  <c r="N176" i="1"/>
  <c r="H176" i="1"/>
  <c r="AB175" i="1"/>
  <c r="AB174" i="1"/>
  <c r="B173" i="1"/>
  <c r="A173" i="1"/>
  <c r="AJ171" i="1"/>
  <c r="AI171" i="1"/>
  <c r="AH171" i="1"/>
  <c r="AE171" i="1"/>
  <c r="AD171" i="1"/>
  <c r="AB171" i="1"/>
  <c r="N171" i="1"/>
  <c r="H171" i="1"/>
  <c r="A171" i="1"/>
  <c r="AJ170" i="1"/>
  <c r="AI170" i="1"/>
  <c r="AH170" i="1"/>
  <c r="AE170" i="1"/>
  <c r="AD170" i="1"/>
  <c r="AB170" i="1"/>
  <c r="N170" i="1"/>
  <c r="H170" i="1"/>
  <c r="A170" i="1"/>
  <c r="AJ169" i="1"/>
  <c r="AI169" i="1"/>
  <c r="AH169" i="1"/>
  <c r="AE169" i="1"/>
  <c r="AD169" i="1"/>
  <c r="AB169" i="1"/>
  <c r="N169" i="1"/>
  <c r="H169" i="1"/>
  <c r="A169" i="1"/>
  <c r="AJ168" i="1"/>
  <c r="AI168" i="1"/>
  <c r="AH168" i="1"/>
  <c r="AE168" i="1"/>
  <c r="AD168" i="1"/>
  <c r="AB168" i="1"/>
  <c r="N168" i="1"/>
  <c r="H168" i="1"/>
  <c r="A168" i="1"/>
  <c r="AJ167" i="1"/>
  <c r="AI167" i="1"/>
  <c r="AH167" i="1"/>
  <c r="AE167" i="1"/>
  <c r="AD167" i="1"/>
  <c r="AB167" i="1"/>
  <c r="N167" i="1"/>
  <c r="H167" i="1"/>
  <c r="A167" i="1"/>
  <c r="AJ166" i="1"/>
  <c r="AI166" i="1"/>
  <c r="AH166" i="1"/>
  <c r="AE166" i="1"/>
  <c r="AD166" i="1"/>
  <c r="AB166" i="1"/>
  <c r="N166" i="1"/>
  <c r="H166" i="1"/>
  <c r="A166" i="1"/>
  <c r="AJ165" i="1"/>
  <c r="AI165" i="1"/>
  <c r="AH165" i="1"/>
  <c r="AE165" i="1"/>
  <c r="AD165" i="1"/>
  <c r="AB165" i="1"/>
  <c r="N165" i="1"/>
  <c r="H165" i="1"/>
  <c r="A165" i="1"/>
  <c r="AJ164" i="1"/>
  <c r="AI164" i="1"/>
  <c r="AH164" i="1"/>
  <c r="AE164" i="1"/>
  <c r="AD164" i="1"/>
  <c r="AB164" i="1"/>
  <c r="N164" i="1"/>
  <c r="H164" i="1"/>
  <c r="A164" i="1"/>
  <c r="AJ163" i="1"/>
  <c r="AI163" i="1"/>
  <c r="AH163" i="1"/>
  <c r="AE163" i="1"/>
  <c r="AD163" i="1"/>
  <c r="AB163" i="1"/>
  <c r="N163" i="1"/>
  <c r="H163" i="1"/>
  <c r="A163" i="1"/>
  <c r="AJ162" i="1"/>
  <c r="AI162" i="1"/>
  <c r="AH162" i="1"/>
  <c r="AE162" i="1"/>
  <c r="AD162" i="1"/>
  <c r="AB162" i="1"/>
  <c r="N162" i="1"/>
  <c r="H162" i="1"/>
  <c r="A162" i="1"/>
  <c r="AJ161" i="1"/>
  <c r="AI161" i="1"/>
  <c r="AH161" i="1"/>
  <c r="AE161" i="1"/>
  <c r="AD161" i="1"/>
  <c r="AB161" i="1"/>
  <c r="N161" i="1"/>
  <c r="H161" i="1"/>
  <c r="A161" i="1"/>
  <c r="AJ160" i="1"/>
  <c r="AI160" i="1"/>
  <c r="AH160" i="1"/>
  <c r="AE160" i="1"/>
  <c r="AD160" i="1"/>
  <c r="AB160" i="1"/>
  <c r="N160" i="1"/>
  <c r="H160" i="1"/>
  <c r="A160" i="1"/>
  <c r="AJ159" i="1"/>
  <c r="AI159" i="1"/>
  <c r="AH159" i="1"/>
  <c r="AE159" i="1"/>
  <c r="AD159" i="1"/>
  <c r="N159" i="1"/>
  <c r="H159" i="1"/>
  <c r="AB159" i="1" s="1"/>
  <c r="A159" i="1"/>
  <c r="AJ158" i="1"/>
  <c r="AI158" i="1"/>
  <c r="AH158" i="1"/>
  <c r="AE158" i="1"/>
  <c r="AD158" i="1"/>
  <c r="AB158" i="1"/>
  <c r="N158" i="1"/>
  <c r="H158" i="1"/>
  <c r="A158" i="1"/>
  <c r="AJ157" i="1"/>
  <c r="AI157" i="1"/>
  <c r="AH157" i="1"/>
  <c r="AE157" i="1"/>
  <c r="AD157" i="1"/>
  <c r="N157" i="1"/>
  <c r="H157" i="1"/>
  <c r="AB157" i="1" s="1"/>
  <c r="A157" i="1"/>
  <c r="AJ156" i="1"/>
  <c r="AI156" i="1"/>
  <c r="AH156" i="1"/>
  <c r="AE156" i="1"/>
  <c r="AD156" i="1"/>
  <c r="N156" i="1"/>
  <c r="H156" i="1"/>
  <c r="AB156" i="1" s="1"/>
  <c r="A156" i="1"/>
  <c r="AJ155" i="1"/>
  <c r="AI155" i="1"/>
  <c r="AH155" i="1"/>
  <c r="AE155" i="1"/>
  <c r="AD155" i="1"/>
  <c r="N155" i="1"/>
  <c r="H155" i="1"/>
  <c r="AB155" i="1" s="1"/>
  <c r="A155" i="1"/>
  <c r="AJ154" i="1"/>
  <c r="AI154" i="1"/>
  <c r="AH154" i="1"/>
  <c r="AE154" i="1"/>
  <c r="AD154" i="1"/>
  <c r="AB154" i="1"/>
  <c r="N154" i="1"/>
  <c r="H154" i="1"/>
  <c r="A154" i="1"/>
  <c r="AJ153" i="1"/>
  <c r="AI153" i="1"/>
  <c r="AH153" i="1"/>
  <c r="AE153" i="1"/>
  <c r="AD153" i="1"/>
  <c r="N153" i="1"/>
  <c r="H153" i="1"/>
  <c r="AB153" i="1" s="1"/>
  <c r="A153" i="1"/>
  <c r="AJ152" i="1"/>
  <c r="AI152" i="1"/>
  <c r="AH152" i="1"/>
  <c r="AE152" i="1"/>
  <c r="AD152" i="1"/>
  <c r="H152" i="1"/>
  <c r="AB152" i="1" s="1"/>
  <c r="AB151" i="1"/>
  <c r="AB150" i="1"/>
  <c r="B149" i="1"/>
  <c r="A149" i="1"/>
  <c r="AJ148" i="1"/>
  <c r="AI148" i="1"/>
  <c r="AH148" i="1"/>
  <c r="AE148" i="1"/>
  <c r="AD148" i="1"/>
  <c r="AJ147" i="1"/>
  <c r="AI147" i="1"/>
  <c r="AH147" i="1"/>
  <c r="AE147" i="1"/>
  <c r="AD147" i="1"/>
  <c r="AB147" i="1"/>
  <c r="N147" i="1"/>
  <c r="H147" i="1"/>
  <c r="A147" i="1"/>
  <c r="AJ146" i="1"/>
  <c r="AI146" i="1"/>
  <c r="AH146" i="1"/>
  <c r="AE146" i="1"/>
  <c r="AD146" i="1"/>
  <c r="AB146" i="1"/>
  <c r="N146" i="1"/>
  <c r="H146" i="1"/>
  <c r="A146" i="1"/>
  <c r="AJ145" i="1"/>
  <c r="AI145" i="1"/>
  <c r="AH145" i="1"/>
  <c r="AE145" i="1"/>
  <c r="AD145" i="1"/>
  <c r="AB145" i="1"/>
  <c r="N145" i="1"/>
  <c r="H145" i="1"/>
  <c r="A145" i="1"/>
  <c r="AJ144" i="1"/>
  <c r="AI144" i="1"/>
  <c r="AH144" i="1"/>
  <c r="AE144" i="1"/>
  <c r="AD144" i="1"/>
  <c r="AB144" i="1"/>
  <c r="N144" i="1"/>
  <c r="H144" i="1"/>
  <c r="A144" i="1"/>
  <c r="AJ143" i="1"/>
  <c r="AI143" i="1"/>
  <c r="AH143" i="1"/>
  <c r="AE143" i="1"/>
  <c r="AD143" i="1"/>
  <c r="AB143" i="1"/>
  <c r="N143" i="1"/>
  <c r="H143" i="1"/>
  <c r="A143" i="1"/>
  <c r="AJ142" i="1"/>
  <c r="AI142" i="1"/>
  <c r="AH142" i="1"/>
  <c r="AE142" i="1"/>
  <c r="AD142" i="1"/>
  <c r="AB142" i="1"/>
  <c r="N142" i="1"/>
  <c r="H142" i="1"/>
  <c r="A142" i="1"/>
  <c r="AJ141" i="1"/>
  <c r="AI141" i="1"/>
  <c r="AH141" i="1"/>
  <c r="AE141" i="1"/>
  <c r="AD141" i="1"/>
  <c r="AB141" i="1"/>
  <c r="N141" i="1"/>
  <c r="H141" i="1"/>
  <c r="A141" i="1"/>
  <c r="AJ140" i="1"/>
  <c r="AI140" i="1"/>
  <c r="AH140" i="1"/>
  <c r="AE140" i="1"/>
  <c r="AD140" i="1"/>
  <c r="AB140" i="1"/>
  <c r="N140" i="1"/>
  <c r="H140" i="1"/>
  <c r="A140" i="1"/>
  <c r="AJ139" i="1"/>
  <c r="AI139" i="1"/>
  <c r="AH139" i="1"/>
  <c r="AE139" i="1"/>
  <c r="AD139" i="1"/>
  <c r="AB139" i="1"/>
  <c r="N139" i="1"/>
  <c r="H139" i="1"/>
  <c r="A139" i="1"/>
  <c r="AJ138" i="1"/>
  <c r="AI138" i="1"/>
  <c r="AH138" i="1"/>
  <c r="AE138" i="1"/>
  <c r="AD138" i="1"/>
  <c r="AB138" i="1"/>
  <c r="N138" i="1"/>
  <c r="H138" i="1"/>
  <c r="A138" i="1"/>
  <c r="AJ137" i="1"/>
  <c r="AI137" i="1"/>
  <c r="AH137" i="1"/>
  <c r="AE137" i="1"/>
  <c r="AD137" i="1"/>
  <c r="AB137" i="1"/>
  <c r="N137" i="1"/>
  <c r="H137" i="1"/>
  <c r="A137" i="1"/>
  <c r="AJ136" i="1"/>
  <c r="AI136" i="1"/>
  <c r="AH136" i="1"/>
  <c r="AE136" i="1"/>
  <c r="AD136" i="1"/>
  <c r="N136" i="1"/>
  <c r="H136" i="1"/>
  <c r="AB136" i="1" s="1"/>
  <c r="A136" i="1"/>
  <c r="AJ135" i="1"/>
  <c r="AI135" i="1"/>
  <c r="AH135" i="1"/>
  <c r="AE135" i="1"/>
  <c r="AD135" i="1"/>
  <c r="N135" i="1"/>
  <c r="H135" i="1"/>
  <c r="AB135" i="1" s="1"/>
  <c r="A135" i="1"/>
  <c r="AJ134" i="1"/>
  <c r="AI134" i="1"/>
  <c r="AH134" i="1"/>
  <c r="AE134" i="1"/>
  <c r="AD134" i="1"/>
  <c r="N134" i="1"/>
  <c r="H134" i="1"/>
  <c r="AB134" i="1" s="1"/>
  <c r="A134" i="1"/>
  <c r="AJ133" i="1"/>
  <c r="AI133" i="1"/>
  <c r="AH133" i="1"/>
  <c r="AE133" i="1"/>
  <c r="AD133" i="1"/>
  <c r="AB133" i="1"/>
  <c r="N133" i="1"/>
  <c r="H133" i="1"/>
  <c r="A133" i="1"/>
  <c r="AJ132" i="1"/>
  <c r="AI132" i="1"/>
  <c r="AH132" i="1"/>
  <c r="AE132" i="1"/>
  <c r="AD132" i="1"/>
  <c r="N132" i="1"/>
  <c r="H132" i="1"/>
  <c r="AB132" i="1" s="1"/>
  <c r="A132" i="1"/>
  <c r="AJ131" i="1"/>
  <c r="AI131" i="1"/>
  <c r="AH131" i="1"/>
  <c r="AE131" i="1"/>
  <c r="AD131" i="1"/>
  <c r="N131" i="1"/>
  <c r="H131" i="1"/>
  <c r="AB131" i="1" s="1"/>
  <c r="A131" i="1"/>
  <c r="AJ130" i="1"/>
  <c r="AI130" i="1"/>
  <c r="AH130" i="1"/>
  <c r="AE130" i="1"/>
  <c r="AD130" i="1"/>
  <c r="AB130" i="1"/>
  <c r="N130" i="1"/>
  <c r="H130" i="1"/>
  <c r="A130" i="1"/>
  <c r="AJ129" i="1"/>
  <c r="AI129" i="1"/>
  <c r="AH129" i="1"/>
  <c r="AE129" i="1"/>
  <c r="AD129" i="1"/>
  <c r="AB129" i="1"/>
  <c r="N129" i="1"/>
  <c r="H129" i="1"/>
  <c r="A129" i="1"/>
  <c r="AJ128" i="1"/>
  <c r="AI128" i="1"/>
  <c r="AH128" i="1"/>
  <c r="AE128" i="1"/>
  <c r="AD128" i="1"/>
  <c r="H128" i="1"/>
  <c r="AB128" i="1" s="1"/>
  <c r="AB127" i="1"/>
  <c r="AB126" i="1"/>
  <c r="B125" i="1"/>
  <c r="A125" i="1"/>
  <c r="AJ123" i="1"/>
  <c r="AI123" i="1"/>
  <c r="AH123" i="1"/>
  <c r="AE123" i="1"/>
  <c r="AD123" i="1"/>
  <c r="H123" i="1"/>
  <c r="A123" i="1"/>
  <c r="AJ122" i="1"/>
  <c r="AI122" i="1"/>
  <c r="AH122" i="1"/>
  <c r="AE122" i="1"/>
  <c r="AD122" i="1"/>
  <c r="H122" i="1"/>
  <c r="A122" i="1"/>
  <c r="AJ121" i="1"/>
  <c r="AI121" i="1"/>
  <c r="AH121" i="1"/>
  <c r="AE121" i="1"/>
  <c r="AD121" i="1"/>
  <c r="H121" i="1"/>
  <c r="A121" i="1"/>
  <c r="AJ120" i="1"/>
  <c r="AI120" i="1"/>
  <c r="AH120" i="1"/>
  <c r="AE120" i="1"/>
  <c r="AD120" i="1"/>
  <c r="H120" i="1"/>
  <c r="A120" i="1"/>
  <c r="AJ119" i="1"/>
  <c r="AI119" i="1"/>
  <c r="AH119" i="1"/>
  <c r="AE119" i="1"/>
  <c r="AD119" i="1"/>
  <c r="H119" i="1"/>
  <c r="A119" i="1"/>
  <c r="AJ118" i="1"/>
  <c r="AI118" i="1"/>
  <c r="AH118" i="1"/>
  <c r="AE118" i="1"/>
  <c r="AD118" i="1"/>
  <c r="H118" i="1"/>
  <c r="A118" i="1"/>
  <c r="AJ117" i="1"/>
  <c r="AI117" i="1"/>
  <c r="AH117" i="1"/>
  <c r="AE117" i="1"/>
  <c r="AD117" i="1"/>
  <c r="H117" i="1"/>
  <c r="A117" i="1"/>
  <c r="AJ116" i="1"/>
  <c r="AI116" i="1"/>
  <c r="AH116" i="1"/>
  <c r="AE116" i="1"/>
  <c r="AD116" i="1"/>
  <c r="H116" i="1"/>
  <c r="A116" i="1"/>
  <c r="AJ115" i="1"/>
  <c r="AI115" i="1"/>
  <c r="AH115" i="1"/>
  <c r="AE115" i="1"/>
  <c r="AD115" i="1"/>
  <c r="H115" i="1"/>
  <c r="A115" i="1"/>
  <c r="AJ114" i="1"/>
  <c r="AI114" i="1"/>
  <c r="AH114" i="1"/>
  <c r="AE114" i="1"/>
  <c r="AD114" i="1"/>
  <c r="H114" i="1"/>
  <c r="A114" i="1"/>
  <c r="AJ113" i="1"/>
  <c r="AI113" i="1"/>
  <c r="AH113" i="1"/>
  <c r="AE113" i="1"/>
  <c r="AD113" i="1"/>
  <c r="H113" i="1"/>
  <c r="A113" i="1"/>
  <c r="AJ112" i="1"/>
  <c r="AI112" i="1"/>
  <c r="AH112" i="1"/>
  <c r="AE112" i="1"/>
  <c r="AD112" i="1"/>
  <c r="H112" i="1"/>
  <c r="A112" i="1"/>
  <c r="AJ111" i="1"/>
  <c r="AI111" i="1"/>
  <c r="AH111" i="1"/>
  <c r="AE111" i="1"/>
  <c r="AD111" i="1"/>
  <c r="H111" i="1"/>
  <c r="A111" i="1"/>
  <c r="AJ110" i="1"/>
  <c r="AI110" i="1"/>
  <c r="AH110" i="1"/>
  <c r="AE110" i="1"/>
  <c r="AD110" i="1"/>
  <c r="H110" i="1"/>
  <c r="A110" i="1"/>
  <c r="AJ109" i="1"/>
  <c r="AI109" i="1"/>
  <c r="AH109" i="1"/>
  <c r="AE109" i="1"/>
  <c r="AD109" i="1"/>
  <c r="H109" i="1"/>
  <c r="A109" i="1"/>
  <c r="AJ108" i="1"/>
  <c r="AI108" i="1"/>
  <c r="AH108" i="1"/>
  <c r="AE108" i="1"/>
  <c r="AD108" i="1"/>
  <c r="H108" i="1"/>
  <c r="A108" i="1"/>
  <c r="AJ107" i="1"/>
  <c r="AI107" i="1"/>
  <c r="AH107" i="1"/>
  <c r="AE107" i="1"/>
  <c r="AD107" i="1"/>
  <c r="H107" i="1"/>
  <c r="A107" i="1"/>
  <c r="AJ106" i="1"/>
  <c r="AI106" i="1"/>
  <c r="AH106" i="1"/>
  <c r="AE106" i="1"/>
  <c r="AD106" i="1"/>
  <c r="H106" i="1"/>
  <c r="A106" i="1"/>
  <c r="AJ105" i="1"/>
  <c r="AI105" i="1"/>
  <c r="AH105" i="1"/>
  <c r="AE105" i="1"/>
  <c r="AD105" i="1"/>
  <c r="N105" i="1"/>
  <c r="N106" i="1" s="1"/>
  <c r="H105" i="1"/>
  <c r="A105" i="1"/>
  <c r="AJ104" i="1"/>
  <c r="AI104" i="1"/>
  <c r="AH104" i="1"/>
  <c r="AE104" i="1"/>
  <c r="AD104" i="1"/>
  <c r="H104" i="1"/>
  <c r="AB104" i="1" s="1"/>
  <c r="AB103" i="1"/>
  <c r="AB102" i="1"/>
  <c r="B101" i="1"/>
  <c r="A101" i="1"/>
  <c r="AJ99" i="1"/>
  <c r="AI99" i="1"/>
  <c r="AH99" i="1"/>
  <c r="AE99" i="1"/>
  <c r="AD99" i="1"/>
  <c r="H99" i="1"/>
  <c r="A99" i="1"/>
  <c r="AJ98" i="1"/>
  <c r="AI98" i="1"/>
  <c r="AH98" i="1"/>
  <c r="AE98" i="1"/>
  <c r="AD98" i="1"/>
  <c r="H98" i="1"/>
  <c r="A98" i="1"/>
  <c r="AJ97" i="1"/>
  <c r="AI97" i="1"/>
  <c r="AH97" i="1"/>
  <c r="AE97" i="1"/>
  <c r="AD97" i="1"/>
  <c r="H97" i="1"/>
  <c r="A97" i="1"/>
  <c r="AJ96" i="1"/>
  <c r="AI96" i="1"/>
  <c r="AH96" i="1"/>
  <c r="AE96" i="1"/>
  <c r="AD96" i="1"/>
  <c r="H96" i="1"/>
  <c r="A96" i="1"/>
  <c r="AJ95" i="1"/>
  <c r="AI95" i="1"/>
  <c r="AH95" i="1"/>
  <c r="AE95" i="1"/>
  <c r="AD95" i="1"/>
  <c r="H95" i="1"/>
  <c r="A95" i="1"/>
  <c r="AJ94" i="1"/>
  <c r="AI94" i="1"/>
  <c r="AH94" i="1"/>
  <c r="AE94" i="1"/>
  <c r="AD94" i="1"/>
  <c r="H94" i="1"/>
  <c r="A94" i="1"/>
  <c r="AJ93" i="1"/>
  <c r="AI93" i="1"/>
  <c r="AH93" i="1"/>
  <c r="AE93" i="1"/>
  <c r="AD93" i="1"/>
  <c r="H93" i="1"/>
  <c r="A93" i="1"/>
  <c r="AJ92" i="1"/>
  <c r="AI92" i="1"/>
  <c r="AH92" i="1"/>
  <c r="AE92" i="1"/>
  <c r="AD92" i="1"/>
  <c r="H92" i="1"/>
  <c r="A92" i="1"/>
  <c r="AJ91" i="1"/>
  <c r="AI91" i="1"/>
  <c r="AH91" i="1"/>
  <c r="AE91" i="1"/>
  <c r="AD91" i="1"/>
  <c r="H91" i="1"/>
  <c r="A91" i="1"/>
  <c r="AJ90" i="1"/>
  <c r="AI90" i="1"/>
  <c r="AH90" i="1"/>
  <c r="AE90" i="1"/>
  <c r="AD90" i="1"/>
  <c r="H90" i="1"/>
  <c r="A90" i="1"/>
  <c r="AJ89" i="1"/>
  <c r="AI89" i="1"/>
  <c r="AH89" i="1"/>
  <c r="AE89" i="1"/>
  <c r="AD89" i="1"/>
  <c r="H89" i="1"/>
  <c r="A89" i="1"/>
  <c r="AJ88" i="1"/>
  <c r="AI88" i="1"/>
  <c r="AH88" i="1"/>
  <c r="AE88" i="1"/>
  <c r="AD88" i="1"/>
  <c r="A88" i="1"/>
  <c r="AJ87" i="1"/>
  <c r="AI87" i="1"/>
  <c r="AH87" i="1"/>
  <c r="AE87" i="1"/>
  <c r="AD87" i="1"/>
  <c r="A87" i="1"/>
  <c r="AJ86" i="1"/>
  <c r="AI86" i="1"/>
  <c r="AH86" i="1"/>
  <c r="AE86" i="1"/>
  <c r="AD86" i="1"/>
  <c r="A86" i="1"/>
  <c r="AJ85" i="1"/>
  <c r="AI85" i="1"/>
  <c r="AH85" i="1"/>
  <c r="AE85" i="1"/>
  <c r="AD85" i="1"/>
  <c r="A85" i="1"/>
  <c r="AJ84" i="1"/>
  <c r="AI84" i="1"/>
  <c r="AH84" i="1"/>
  <c r="AE84" i="1"/>
  <c r="AD84" i="1"/>
  <c r="A84" i="1"/>
  <c r="AJ83" i="1"/>
  <c r="AI83" i="1"/>
  <c r="AH83" i="1"/>
  <c r="AE83" i="1"/>
  <c r="AD83" i="1"/>
  <c r="A83" i="1"/>
  <c r="AJ82" i="1"/>
  <c r="AI82" i="1"/>
  <c r="AH82" i="1"/>
  <c r="AE82" i="1"/>
  <c r="AD82" i="1"/>
  <c r="A82" i="1"/>
  <c r="AJ81" i="1"/>
  <c r="AI81" i="1"/>
  <c r="AH81" i="1"/>
  <c r="AE81" i="1"/>
  <c r="AD81" i="1"/>
  <c r="N81" i="1"/>
  <c r="N82" i="1" s="1"/>
  <c r="N83" i="1" s="1"/>
  <c r="N84" i="1" s="1"/>
  <c r="N85" i="1" s="1"/>
  <c r="N86" i="1" s="1"/>
  <c r="N87" i="1" s="1"/>
  <c r="A81" i="1"/>
  <c r="AJ80" i="1"/>
  <c r="AI80" i="1"/>
  <c r="AH80" i="1"/>
  <c r="AE80" i="1"/>
  <c r="AD80" i="1"/>
  <c r="AB80" i="1"/>
  <c r="AB79" i="1"/>
  <c r="AB78" i="1"/>
  <c r="AI77" i="1"/>
  <c r="B77" i="1"/>
  <c r="A77" i="1"/>
  <c r="AJ76" i="1"/>
  <c r="AI76" i="1"/>
  <c r="AH76" i="1"/>
  <c r="AE76" i="1"/>
  <c r="AD76" i="1"/>
  <c r="AJ75" i="1"/>
  <c r="AI75" i="1"/>
  <c r="AH75" i="1"/>
  <c r="AE75" i="1"/>
  <c r="AD75" i="1"/>
  <c r="H75" i="1"/>
  <c r="A75" i="1"/>
  <c r="AJ74" i="1"/>
  <c r="AI74" i="1"/>
  <c r="AH74" i="1"/>
  <c r="AE74" i="1"/>
  <c r="AD74" i="1"/>
  <c r="H74" i="1"/>
  <c r="A74" i="1"/>
  <c r="AJ73" i="1"/>
  <c r="AI73" i="1"/>
  <c r="AH73" i="1"/>
  <c r="AE73" i="1"/>
  <c r="AD73" i="1"/>
  <c r="H73" i="1"/>
  <c r="A73" i="1"/>
  <c r="AJ72" i="1"/>
  <c r="AI72" i="1"/>
  <c r="AH72" i="1"/>
  <c r="AE72" i="1"/>
  <c r="AD72" i="1"/>
  <c r="H72" i="1"/>
  <c r="A72" i="1"/>
  <c r="AJ71" i="1"/>
  <c r="AI71" i="1"/>
  <c r="AH71" i="1"/>
  <c r="AE71" i="1"/>
  <c r="AD71" i="1"/>
  <c r="H71" i="1"/>
  <c r="A71" i="1"/>
  <c r="AJ70" i="1"/>
  <c r="AI70" i="1"/>
  <c r="AH70" i="1"/>
  <c r="AE70" i="1"/>
  <c r="AD70" i="1"/>
  <c r="H70" i="1"/>
  <c r="A70" i="1"/>
  <c r="AJ69" i="1"/>
  <c r="AI69" i="1"/>
  <c r="AH69" i="1"/>
  <c r="AE69" i="1"/>
  <c r="AD69" i="1"/>
  <c r="H69" i="1"/>
  <c r="A69" i="1"/>
  <c r="AJ68" i="1"/>
  <c r="AI68" i="1"/>
  <c r="AH68" i="1"/>
  <c r="AE68" i="1"/>
  <c r="AD68" i="1"/>
  <c r="H68" i="1"/>
  <c r="A68" i="1"/>
  <c r="AJ67" i="1"/>
  <c r="AI67" i="1"/>
  <c r="AH67" i="1"/>
  <c r="AE67" i="1"/>
  <c r="AD67" i="1"/>
  <c r="H67" i="1"/>
  <c r="A67" i="1"/>
  <c r="AJ66" i="1"/>
  <c r="AI66" i="1"/>
  <c r="AH66" i="1"/>
  <c r="AE66" i="1"/>
  <c r="AD66" i="1"/>
  <c r="H66" i="1"/>
  <c r="A66" i="1"/>
  <c r="AJ65" i="1"/>
  <c r="AI65" i="1"/>
  <c r="AH65" i="1"/>
  <c r="AE65" i="1"/>
  <c r="AD65" i="1"/>
  <c r="H65" i="1"/>
  <c r="A65" i="1"/>
  <c r="AJ64" i="1"/>
  <c r="AI64" i="1"/>
  <c r="AH64" i="1"/>
  <c r="AE64" i="1"/>
  <c r="AD64" i="1"/>
  <c r="H64" i="1"/>
  <c r="A64" i="1"/>
  <c r="AJ63" i="1"/>
  <c r="AI63" i="1"/>
  <c r="AH63" i="1"/>
  <c r="AE63" i="1"/>
  <c r="AD63" i="1"/>
  <c r="H63" i="1"/>
  <c r="A63" i="1"/>
  <c r="AJ62" i="1"/>
  <c r="AI62" i="1"/>
  <c r="AH62" i="1"/>
  <c r="AE62" i="1"/>
  <c r="AD62" i="1"/>
  <c r="H62" i="1"/>
  <c r="A62" i="1"/>
  <c r="AJ61" i="1"/>
  <c r="AI61" i="1"/>
  <c r="AH61" i="1"/>
  <c r="AE61" i="1"/>
  <c r="AD61" i="1"/>
  <c r="H61" i="1"/>
  <c r="A61" i="1"/>
  <c r="AJ60" i="1"/>
  <c r="AI60" i="1"/>
  <c r="AH60" i="1"/>
  <c r="AE60" i="1"/>
  <c r="AD60" i="1"/>
  <c r="H60" i="1"/>
  <c r="A60" i="1"/>
  <c r="AJ59" i="1"/>
  <c r="AI59" i="1"/>
  <c r="AH59" i="1"/>
  <c r="AE59" i="1"/>
  <c r="AD59" i="1"/>
  <c r="H59" i="1"/>
  <c r="A59" i="1"/>
  <c r="AJ58" i="1"/>
  <c r="AI58" i="1"/>
  <c r="AH58" i="1"/>
  <c r="AE58" i="1"/>
  <c r="AD58" i="1"/>
  <c r="H58" i="1"/>
  <c r="A58" i="1"/>
  <c r="AJ57" i="1"/>
  <c r="AI57" i="1"/>
  <c r="AH57" i="1"/>
  <c r="AE57" i="1"/>
  <c r="AD57" i="1"/>
  <c r="N57" i="1"/>
  <c r="H57" i="1"/>
  <c r="A57" i="1"/>
  <c r="AJ56" i="1"/>
  <c r="AI56" i="1"/>
  <c r="AH56" i="1"/>
  <c r="AE56" i="1"/>
  <c r="AD56" i="1"/>
  <c r="H56" i="1"/>
  <c r="AB56" i="1" s="1"/>
  <c r="AB55" i="1"/>
  <c r="AB54" i="1"/>
  <c r="AI53" i="1"/>
  <c r="A53" i="1"/>
  <c r="AI52" i="1"/>
  <c r="AJ51" i="1"/>
  <c r="AI51" i="1"/>
  <c r="AH51" i="1"/>
  <c r="AE51" i="1"/>
  <c r="AD51" i="1"/>
  <c r="H51" i="1"/>
  <c r="A51" i="1"/>
  <c r="AJ50" i="1"/>
  <c r="AI50" i="1"/>
  <c r="AH50" i="1"/>
  <c r="AE50" i="1"/>
  <c r="AD50" i="1"/>
  <c r="H50" i="1"/>
  <c r="A50" i="1"/>
  <c r="AJ49" i="1"/>
  <c r="AI49" i="1"/>
  <c r="AH49" i="1"/>
  <c r="AE49" i="1"/>
  <c r="AD49" i="1"/>
  <c r="H49" i="1"/>
  <c r="A49" i="1"/>
  <c r="AJ48" i="1"/>
  <c r="AI48" i="1"/>
  <c r="AH48" i="1"/>
  <c r="AE48" i="1"/>
  <c r="AD48" i="1"/>
  <c r="H48" i="1"/>
  <c r="A48" i="1"/>
  <c r="AJ47" i="1"/>
  <c r="AI47" i="1"/>
  <c r="AH47" i="1"/>
  <c r="AE47" i="1"/>
  <c r="AD47" i="1"/>
  <c r="H47" i="1"/>
  <c r="A47" i="1"/>
  <c r="AJ46" i="1"/>
  <c r="AI46" i="1"/>
  <c r="AH46" i="1"/>
  <c r="AE46" i="1"/>
  <c r="AD46" i="1"/>
  <c r="H46" i="1"/>
  <c r="A46" i="1"/>
  <c r="AJ45" i="1"/>
  <c r="AI45" i="1"/>
  <c r="AH45" i="1"/>
  <c r="AE45" i="1"/>
  <c r="AD45" i="1"/>
  <c r="H45" i="1"/>
  <c r="A45" i="1"/>
  <c r="AJ44" i="1"/>
  <c r="AI44" i="1"/>
  <c r="AH44" i="1"/>
  <c r="AE44" i="1"/>
  <c r="AD44" i="1"/>
  <c r="H44" i="1"/>
  <c r="A44" i="1"/>
  <c r="AJ43" i="1"/>
  <c r="AI43" i="1"/>
  <c r="AH43" i="1"/>
  <c r="AE43" i="1"/>
  <c r="AD43" i="1"/>
  <c r="H43" i="1"/>
  <c r="A43" i="1"/>
  <c r="AJ42" i="1"/>
  <c r="AI42" i="1"/>
  <c r="AH42" i="1"/>
  <c r="AE42" i="1"/>
  <c r="AD42" i="1"/>
  <c r="H42" i="1"/>
  <c r="A42" i="1"/>
  <c r="AJ41" i="1"/>
  <c r="AI41" i="1"/>
  <c r="AH41" i="1"/>
  <c r="AE41" i="1"/>
  <c r="AD41" i="1"/>
  <c r="H41" i="1"/>
  <c r="A41" i="1"/>
  <c r="AJ40" i="1"/>
  <c r="AI40" i="1"/>
  <c r="AH40" i="1"/>
  <c r="AE40" i="1"/>
  <c r="AD40" i="1"/>
  <c r="H40" i="1"/>
  <c r="A40" i="1"/>
  <c r="AJ39" i="1"/>
  <c r="AI39" i="1"/>
  <c r="AH39" i="1"/>
  <c r="AE39" i="1"/>
  <c r="AD39" i="1"/>
  <c r="H39" i="1"/>
  <c r="A39" i="1"/>
  <c r="AJ38" i="1"/>
  <c r="AI38" i="1"/>
  <c r="AH38" i="1"/>
  <c r="AE38" i="1"/>
  <c r="AD38" i="1"/>
  <c r="H38" i="1"/>
  <c r="A38" i="1"/>
  <c r="AJ37" i="1"/>
  <c r="AI37" i="1"/>
  <c r="AH37" i="1"/>
  <c r="AE37" i="1"/>
  <c r="AD37" i="1"/>
  <c r="H37" i="1"/>
  <c r="A37" i="1"/>
  <c r="AJ36" i="1"/>
  <c r="AI36" i="1"/>
  <c r="AH36" i="1"/>
  <c r="AE36" i="1"/>
  <c r="AD36" i="1"/>
  <c r="A36" i="1"/>
  <c r="AJ35" i="1"/>
  <c r="AI35" i="1"/>
  <c r="AH35" i="1"/>
  <c r="AE35" i="1"/>
  <c r="AD35" i="1"/>
  <c r="A35" i="1"/>
  <c r="AJ34" i="1"/>
  <c r="AI34" i="1"/>
  <c r="AH34" i="1"/>
  <c r="AE34" i="1"/>
  <c r="AD34" i="1"/>
  <c r="A34" i="1"/>
  <c r="AJ33" i="1"/>
  <c r="AI33" i="1"/>
  <c r="AH33" i="1"/>
  <c r="AE33" i="1"/>
  <c r="AD33" i="1"/>
  <c r="AB33" i="1"/>
  <c r="A33" i="1"/>
  <c r="AJ32" i="1"/>
  <c r="AI32" i="1"/>
  <c r="AH32" i="1"/>
  <c r="AE32" i="1"/>
  <c r="AD32" i="1"/>
  <c r="AB32" i="1"/>
  <c r="AB31" i="1"/>
  <c r="AB30" i="1"/>
  <c r="A29" i="1"/>
  <c r="AJ27" i="1"/>
  <c r="AI27" i="1"/>
  <c r="AH27" i="1"/>
  <c r="AE27" i="1"/>
  <c r="AD27" i="1"/>
  <c r="H27" i="1"/>
  <c r="A27" i="1"/>
  <c r="AJ26" i="1"/>
  <c r="AI26" i="1"/>
  <c r="AH26" i="1"/>
  <c r="AE26" i="1"/>
  <c r="AD26" i="1"/>
  <c r="H26" i="1"/>
  <c r="A26" i="1"/>
  <c r="AJ25" i="1"/>
  <c r="AI25" i="1"/>
  <c r="AH25" i="1"/>
  <c r="AE25" i="1"/>
  <c r="AD25" i="1"/>
  <c r="H25" i="1"/>
  <c r="A25" i="1"/>
  <c r="AJ24" i="1"/>
  <c r="AI24" i="1"/>
  <c r="AH24" i="1"/>
  <c r="AE24" i="1"/>
  <c r="AD24" i="1"/>
  <c r="H24" i="1"/>
  <c r="A24" i="1"/>
  <c r="AJ23" i="1"/>
  <c r="AI23" i="1"/>
  <c r="AH23" i="1"/>
  <c r="AE23" i="1"/>
  <c r="AD23" i="1"/>
  <c r="H23" i="1"/>
  <c r="A23" i="1"/>
  <c r="AJ22" i="1"/>
  <c r="AI22" i="1"/>
  <c r="AH22" i="1"/>
  <c r="AE22" i="1"/>
  <c r="AD22" i="1"/>
  <c r="H22" i="1"/>
  <c r="A22" i="1"/>
  <c r="AJ21" i="1"/>
  <c r="AI21" i="1"/>
  <c r="AH21" i="1"/>
  <c r="AE21" i="1"/>
  <c r="AD21" i="1"/>
  <c r="H21" i="1"/>
  <c r="A21" i="1"/>
  <c r="AJ20" i="1"/>
  <c r="AI20" i="1"/>
  <c r="AH20" i="1"/>
  <c r="AE20" i="1"/>
  <c r="AD20" i="1"/>
  <c r="H20" i="1"/>
  <c r="A20" i="1"/>
  <c r="AJ19" i="1"/>
  <c r="AI19" i="1"/>
  <c r="AH19" i="1"/>
  <c r="AE19" i="1"/>
  <c r="AD19" i="1"/>
  <c r="H19" i="1"/>
  <c r="A19" i="1"/>
  <c r="AJ18" i="1"/>
  <c r="AI18" i="1"/>
  <c r="AH18" i="1"/>
  <c r="AE18" i="1"/>
  <c r="AD18" i="1"/>
  <c r="H18" i="1"/>
  <c r="A18" i="1"/>
  <c r="AJ17" i="1"/>
  <c r="AI17" i="1"/>
  <c r="AH17" i="1"/>
  <c r="AE17" i="1"/>
  <c r="AD17" i="1"/>
  <c r="H17" i="1"/>
  <c r="A17" i="1"/>
  <c r="AJ16" i="1"/>
  <c r="AI16" i="1"/>
  <c r="AH16" i="1"/>
  <c r="AE16" i="1"/>
  <c r="AD16" i="1"/>
  <c r="H16" i="1"/>
  <c r="A16" i="1"/>
  <c r="AJ15" i="1"/>
  <c r="AI15" i="1"/>
  <c r="AH15" i="1"/>
  <c r="AE15" i="1"/>
  <c r="AD15" i="1"/>
  <c r="H15" i="1"/>
  <c r="A15" i="1"/>
  <c r="AJ14" i="1"/>
  <c r="AI14" i="1"/>
  <c r="AH14" i="1"/>
  <c r="AE14" i="1"/>
  <c r="AD14" i="1"/>
  <c r="A14" i="1"/>
  <c r="AJ13" i="1"/>
  <c r="AI13" i="1"/>
  <c r="AH13" i="1"/>
  <c r="AE13" i="1"/>
  <c r="AD13" i="1"/>
  <c r="A13" i="1"/>
  <c r="AJ12" i="1"/>
  <c r="AI12" i="1"/>
  <c r="AH12" i="1"/>
  <c r="AE12" i="1"/>
  <c r="AD12" i="1"/>
  <c r="A12" i="1"/>
  <c r="AJ11" i="1"/>
  <c r="AI11" i="1"/>
  <c r="AH11" i="1"/>
  <c r="AE11" i="1"/>
  <c r="AD11" i="1"/>
  <c r="A11" i="1"/>
  <c r="AJ10" i="1"/>
  <c r="AI10" i="1"/>
  <c r="AH10" i="1"/>
  <c r="AE10" i="1"/>
  <c r="AD10" i="1"/>
  <c r="A10" i="1"/>
  <c r="AJ9" i="1"/>
  <c r="AI9" i="1"/>
  <c r="AH9" i="1"/>
  <c r="AE9" i="1"/>
  <c r="AD9" i="1"/>
  <c r="AB9" i="1"/>
  <c r="A9" i="1"/>
  <c r="AJ8" i="1"/>
  <c r="AI8" i="1"/>
  <c r="AH8" i="1"/>
  <c r="AE8" i="1"/>
  <c r="AD8" i="1"/>
  <c r="AB8" i="1"/>
  <c r="AB7" i="1"/>
  <c r="AB6" i="1"/>
  <c r="AB4" i="1"/>
  <c r="AB57" i="1" l="1"/>
  <c r="N58" i="1"/>
  <c r="AB34" i="1"/>
  <c r="N11" i="1"/>
  <c r="AB10" i="1"/>
  <c r="AB106" i="1"/>
  <c r="N107" i="1"/>
  <c r="N108" i="1" s="1"/>
  <c r="N109" i="1" s="1"/>
  <c r="AB107" i="1"/>
  <c r="AB105" i="1"/>
  <c r="AB108" i="1"/>
  <c r="N88" i="1"/>
  <c r="AB87" i="1"/>
  <c r="AB82" i="1"/>
  <c r="AB84" i="1"/>
  <c r="AB86" i="1"/>
  <c r="AB81" i="1"/>
  <c r="AB83" i="1"/>
  <c r="AB85" i="1"/>
  <c r="N59" i="1" l="1"/>
  <c r="AB58" i="1"/>
  <c r="AB35" i="1"/>
  <c r="N12" i="1"/>
  <c r="AB11" i="1"/>
  <c r="N110" i="1"/>
  <c r="AB109" i="1"/>
  <c r="N89" i="1"/>
  <c r="AB88" i="1"/>
  <c r="AB59" i="1" l="1"/>
  <c r="N60" i="1"/>
  <c r="N37" i="1"/>
  <c r="AB36" i="1"/>
  <c r="N13" i="1"/>
  <c r="AB12" i="1"/>
  <c r="AB110" i="1"/>
  <c r="N111" i="1"/>
  <c r="N90" i="1"/>
  <c r="AB89" i="1"/>
  <c r="N61" i="1" l="1"/>
  <c r="AB60" i="1"/>
  <c r="AB37" i="1"/>
  <c r="N38" i="1"/>
  <c r="N14" i="1"/>
  <c r="AB13" i="1"/>
  <c r="N112" i="1"/>
  <c r="AB111" i="1"/>
  <c r="AB90" i="1"/>
  <c r="N91" i="1"/>
  <c r="AB61" i="1" l="1"/>
  <c r="N62" i="1"/>
  <c r="N39" i="1"/>
  <c r="AB38" i="1"/>
  <c r="AB14" i="1"/>
  <c r="N15" i="1"/>
  <c r="N113" i="1"/>
  <c r="AB112" i="1"/>
  <c r="N92" i="1"/>
  <c r="AB91" i="1"/>
  <c r="N63" i="1" l="1"/>
  <c r="AB62" i="1"/>
  <c r="AB39" i="1"/>
  <c r="N40" i="1"/>
  <c r="N16" i="1"/>
  <c r="AB15" i="1"/>
  <c r="N114" i="1"/>
  <c r="AB113" i="1"/>
  <c r="AB92" i="1"/>
  <c r="N93" i="1"/>
  <c r="AB63" i="1" l="1"/>
  <c r="N64" i="1"/>
  <c r="N41" i="1"/>
  <c r="AB40" i="1"/>
  <c r="AB16" i="1"/>
  <c r="N17" i="1"/>
  <c r="N115" i="1"/>
  <c r="AB114" i="1"/>
  <c r="N94" i="1"/>
  <c r="AB93" i="1"/>
  <c r="N65" i="1" l="1"/>
  <c r="AB64" i="1"/>
  <c r="AB41" i="1"/>
  <c r="N42" i="1"/>
  <c r="AB17" i="1"/>
  <c r="N18" i="1"/>
  <c r="AB115" i="1"/>
  <c r="N116" i="1"/>
  <c r="N95" i="1"/>
  <c r="AB94" i="1"/>
  <c r="AB65" i="1" l="1"/>
  <c r="N66" i="1"/>
  <c r="N43" i="1"/>
  <c r="AB42" i="1"/>
  <c r="N19" i="1"/>
  <c r="AB18" i="1"/>
  <c r="N117" i="1"/>
  <c r="AB116" i="1"/>
  <c r="AB95" i="1"/>
  <c r="N96" i="1"/>
  <c r="AB66" i="1" l="1"/>
  <c r="N67" i="1"/>
  <c r="AB43" i="1"/>
  <c r="N44" i="1"/>
  <c r="AB19" i="1"/>
  <c r="N20" i="1"/>
  <c r="AB117" i="1"/>
  <c r="N118" i="1"/>
  <c r="N97" i="1"/>
  <c r="AB96" i="1"/>
  <c r="N68" i="1" l="1"/>
  <c r="AB67" i="1"/>
  <c r="AB44" i="1"/>
  <c r="N45" i="1"/>
  <c r="N21" i="1"/>
  <c r="AB20" i="1"/>
  <c r="N119" i="1"/>
  <c r="AB118" i="1"/>
  <c r="AB97" i="1"/>
  <c r="N98" i="1"/>
  <c r="AB68" i="1" l="1"/>
  <c r="N69" i="1"/>
  <c r="N46" i="1"/>
  <c r="AB45" i="1"/>
  <c r="AB21" i="1"/>
  <c r="N22" i="1"/>
  <c r="AB119" i="1"/>
  <c r="N120" i="1"/>
  <c r="N99" i="1"/>
  <c r="AB99" i="1" s="1"/>
  <c r="AB98" i="1"/>
  <c r="N70" i="1" l="1"/>
  <c r="AB69" i="1"/>
  <c r="AB46" i="1"/>
  <c r="N47" i="1"/>
  <c r="N23" i="1"/>
  <c r="AB22" i="1"/>
  <c r="N121" i="1"/>
  <c r="AB120" i="1"/>
  <c r="AB70" i="1" l="1"/>
  <c r="N71" i="1"/>
  <c r="N48" i="1"/>
  <c r="AB47" i="1"/>
  <c r="AB23" i="1"/>
  <c r="N24" i="1"/>
  <c r="AB121" i="1"/>
  <c r="N122" i="1"/>
  <c r="N72" i="1" l="1"/>
  <c r="AB71" i="1"/>
  <c r="AB48" i="1"/>
  <c r="N49" i="1"/>
  <c r="AB24" i="1"/>
  <c r="N25" i="1"/>
  <c r="AB122" i="1"/>
  <c r="N123" i="1"/>
  <c r="AB123" i="1" s="1"/>
  <c r="AB72" i="1" l="1"/>
  <c r="N73" i="1"/>
  <c r="N50" i="1"/>
  <c r="AB49" i="1"/>
  <c r="N26" i="1"/>
  <c r="AB25" i="1"/>
  <c r="AB73" i="1" l="1"/>
  <c r="N74" i="1"/>
  <c r="AB50" i="1"/>
  <c r="N51" i="1"/>
  <c r="AB51" i="1" s="1"/>
  <c r="AB26" i="1"/>
  <c r="N27" i="1"/>
  <c r="AB27" i="1" s="1"/>
  <c r="N75" i="1" l="1"/>
  <c r="AB75" i="1" s="1"/>
  <c r="AB74" i="1"/>
</calcChain>
</file>

<file path=xl/sharedStrings.xml><?xml version="1.0" encoding="utf-8"?>
<sst xmlns="http://schemas.openxmlformats.org/spreadsheetml/2006/main" count="7505" uniqueCount="151">
  <si>
    <t>" "</t>
  </si>
  <si>
    <t>""</t>
  </si>
  <si>
    <t>WithParam</t>
  </si>
  <si>
    <t>WithParamReadOnly</t>
  </si>
  <si>
    <t>WithUnits</t>
  </si>
  <si>
    <t>WithGoOtherScreen</t>
  </si>
  <si>
    <t>Param</t>
  </si>
  <si>
    <t>QtyStr</t>
  </si>
  <si>
    <t>NomScrGoto</t>
  </si>
  <si>
    <t>NomStrGoto</t>
  </si>
  <si>
    <t>MaxValueParam</t>
  </si>
  <si>
    <t>MinValueParam</t>
  </si>
  <si>
    <t>DeltaChangeParam</t>
  </si>
  <si>
    <t>isBoolParam</t>
  </si>
  <si>
    <t>BoolParam</t>
  </si>
  <si>
    <t>ExitFromParam</t>
  </si>
  <si>
    <t>QualityParam</t>
  </si>
  <si>
    <t>Str[0]</t>
  </si>
  <si>
    <t>Str[1]</t>
  </si>
  <si>
    <t>Str[2]</t>
  </si>
  <si>
    <t>Str[3]</t>
  </si>
  <si>
    <t>Str[4]</t>
  </si>
  <si>
    <t>10.0</t>
  </si>
  <si>
    <t>0.0</t>
  </si>
  <si>
    <t>{</t>
  </si>
  <si>
    <t>//</t>
  </si>
  <si>
    <t>/*1*/</t>
  </si>
  <si>
    <t>/*0*/</t>
  </si>
  <si>
    <t>/*2*/</t>
  </si>
  <si>
    <t>/*3*/</t>
  </si>
  <si>
    <t>/*4*/</t>
  </si>
  <si>
    <t>/*5*/</t>
  </si>
  <si>
    <t>/*6*/</t>
  </si>
  <si>
    <t>/*7*/</t>
  </si>
  <si>
    <t>/*8*/</t>
  </si>
  <si>
    <t>/*9*/</t>
  </si>
  <si>
    <t>/*10*/</t>
  </si>
  <si>
    <t>/*11*/</t>
  </si>
  <si>
    <t>/*12*/</t>
  </si>
  <si>
    <t>/*13*/</t>
  </si>
  <si>
    <t>/*14*/</t>
  </si>
  <si>
    <t>/*15*/</t>
  </si>
  <si>
    <t>/*16*/</t>
  </si>
  <si>
    <t>/*17*/</t>
  </si>
  <si>
    <t>/*18*/</t>
  </si>
  <si>
    <t>/*19*/</t>
  </si>
  <si>
    <t>false</t>
  </si>
  <si>
    <t>true</t>
  </si>
  <si>
    <t>100.0</t>
  </si>
  <si>
    <t>0.1</t>
  </si>
  <si>
    <t>//------------------------------------------------------------</t>
  </si>
  <si>
    <t>},</t>
  </si>
  <si>
    <t>}</t>
  </si>
  <si>
    <t>StructStr Screens[MAX_QTY_SCR][MAX_STR] = // структура экрана</t>
  </si>
  <si>
    <t>//Экран 0</t>
  </si>
  <si>
    <t>//Экран 1</t>
  </si>
  <si>
    <t>//Экран 2</t>
  </si>
  <si>
    <t>//Экран 3</t>
  </si>
  <si>
    <t>//Экран 4</t>
  </si>
  <si>
    <t>//Экран 5</t>
  </si>
  <si>
    <t>//Экран 6</t>
  </si>
  <si>
    <t>//Экран 7</t>
  </si>
  <si>
    <t>//Экран 8</t>
  </si>
  <si>
    <t>//Экран 9</t>
  </si>
  <si>
    <t>//Экран 10</t>
  </si>
  <si>
    <t>//Экран 11</t>
  </si>
  <si>
    <t>//Экран 12</t>
  </si>
  <si>
    <t>//Экран 13</t>
  </si>
  <si>
    <t>//Экран 14</t>
  </si>
  <si>
    <t>//Экран 15</t>
  </si>
  <si>
    <t>//Экран 16</t>
  </si>
  <si>
    <t>//Экран 17</t>
  </si>
  <si>
    <t>//Экран 18</t>
  </si>
  <si>
    <t>//Экран 19</t>
  </si>
  <si>
    <t>}; // Структура экранов</t>
  </si>
  <si>
    <t>// Объявляем структуру экранов, и заполним её</t>
  </si>
  <si>
    <t>Хранить параметр в EEPROM</t>
  </si>
  <si>
    <t>Нет</t>
  </si>
  <si>
    <t>№ п/п</t>
  </si>
  <si>
    <t>FlashMemory.</t>
  </si>
  <si>
    <t>Комментарий</t>
  </si>
  <si>
    <t>// Это вставляется в структуру ссылок, на параметры экрана для удобства работы</t>
  </si>
  <si>
    <t>// Это вставляется в структуру StructForMem</t>
  </si>
  <si>
    <t>// Это вставляется туда, где перекладка из памяти в переменные, с которыми работаем</t>
  </si>
  <si>
    <t>// Это вставляется туда, где сохранение в память</t>
  </si>
  <si>
    <t>// Это вставляется туда, где устанавливаются заводские значения</t>
  </si>
  <si>
    <t>0</t>
  </si>
  <si>
    <t>1</t>
  </si>
  <si>
    <t>" об/мин"</t>
  </si>
  <si>
    <t>150.0</t>
  </si>
  <si>
    <t>1.0</t>
  </si>
  <si>
    <t>-50.0</t>
  </si>
  <si>
    <t>Скорость</t>
  </si>
  <si>
    <t>4</t>
  </si>
  <si>
    <t>5</t>
  </si>
  <si>
    <t>" %"</t>
  </si>
  <si>
    <t>Да</t>
  </si>
  <si>
    <t>Название переменной</t>
  </si>
  <si>
    <t xml:space="preserve">Главный экран. </t>
  </si>
  <si>
    <t>6</t>
  </si>
  <si>
    <t>1000.0</t>
  </si>
  <si>
    <t>50.0</t>
  </si>
  <si>
    <t>500.0</t>
  </si>
  <si>
    <t>3.0</t>
  </si>
  <si>
    <t>80.0</t>
  </si>
  <si>
    <t>4000.0</t>
  </si>
  <si>
    <t>Мин. Скорость</t>
  </si>
  <si>
    <t>Тек. Напр.</t>
  </si>
  <si>
    <t>" В"</t>
  </si>
  <si>
    <t>Зад. Напр.</t>
  </si>
  <si>
    <t>15.0</t>
  </si>
  <si>
    <t>0.5</t>
  </si>
  <si>
    <t>Задание напряжения, В</t>
  </si>
  <si>
    <t>CurrentVoltage</t>
  </si>
  <si>
    <t>DeltaVoltage</t>
  </si>
  <si>
    <t>Дельта напряжения, В</t>
  </si>
  <si>
    <t>Чувствительность</t>
  </si>
  <si>
    <t>400.0</t>
  </si>
  <si>
    <t>Текущее напряжение, В</t>
  </si>
  <si>
    <t>SetVoltage</t>
  </si>
  <si>
    <t>5.0</t>
  </si>
  <si>
    <t>Чувствительность, 50-100%</t>
  </si>
  <si>
    <t>Скорость, 50-100%</t>
  </si>
  <si>
    <t>Гистерезис +-</t>
  </si>
  <si>
    <t>Speed</t>
  </si>
  <si>
    <t>Программа</t>
  </si>
  <si>
    <t>Сохранить</t>
  </si>
  <si>
    <t>Sensitivity</t>
  </si>
  <si>
    <t>Макс. Напр.</t>
  </si>
  <si>
    <t>Мин. Напр.</t>
  </si>
  <si>
    <t>TechMaxVoltage</t>
  </si>
  <si>
    <t>TechMinVoltage</t>
  </si>
  <si>
    <t>Технический максимум напряжения, В</t>
  </si>
  <si>
    <t>Технический минимум напряжения, В</t>
  </si>
  <si>
    <t>Макс. Скорость</t>
  </si>
  <si>
    <t>Напряжение</t>
  </si>
  <si>
    <t>Угол шага</t>
  </si>
  <si>
    <t>" °"</t>
  </si>
  <si>
    <t>1.8</t>
  </si>
  <si>
    <t>0.9</t>
  </si>
  <si>
    <t>StepAngle</t>
  </si>
  <si>
    <t>Угол шага, °</t>
  </si>
  <si>
    <t>Ускорение</t>
  </si>
  <si>
    <t>" об/мин/сек"</t>
  </si>
  <si>
    <t>Максимальная скорость, об/мин</t>
  </si>
  <si>
    <t>Acceleration</t>
  </si>
  <si>
    <t>MaxSpeed</t>
  </si>
  <si>
    <t>MinSpeed</t>
  </si>
  <si>
    <t>Минимальная скорость, об/мин</t>
  </si>
  <si>
    <t>1800.0</t>
  </si>
  <si>
    <t>1200.0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</si>
</sst>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NumberFormat="1" applyFill="1"/>
    <xf numFmtId="49" fontId="0" fillId="2" borderId="0" xfId="0" applyNumberFormat="1" applyFill="1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0" fillId="2" borderId="1" xfId="0" applyNumberFormat="1" applyFill="1" applyBorder="1" applyAlignment="1">
      <alignment wrapText="1"/>
    </xf>
    <xf numFmtId="49" fontId="0" fillId="0" borderId="0" xfId="0" applyNumberFormat="1"/>
    <xf numFmtId="0" fontId="0" fillId="0" borderId="1" xfId="0" applyNumberFormat="1" applyBorder="1"/>
    <xf numFmtId="49" fontId="0" fillId="0" borderId="0" xfId="0" applyNumberFormat="1" applyBorder="1" applyAlignment="1"/>
    <xf numFmtId="49" fontId="0" fillId="0" borderId="0" xfId="0" applyNumberFormat="1" applyBorder="1"/>
    <xf numFmtId="49" fontId="0" fillId="0" borderId="0" xfId="0" applyNumberFormat="1" applyBorder="1" applyAlignment="1">
      <alignment wrapText="1"/>
    </xf>
    <xf numFmtId="0" fontId="0" fillId="0" borderId="0" xfId="0" applyNumberFormat="1"/>
    <xf numFmtId="0" fontId="0" fillId="0" borderId="1" xfId="0" applyNumberFormat="1" applyBorder="1" applyAlignment="1">
      <alignment wrapText="1"/>
    </xf>
    <xf numFmtId="0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/>
    </xf>
    <xf numFmtId="0" fontId="0" fillId="2" borderId="1" xfId="0" applyNumberFormat="1" applyFill="1" applyBorder="1" applyAlignment="1">
      <alignment wrapText="1"/>
    </xf>
    <xf numFmtId="0" fontId="0" fillId="2" borderId="1" xfId="0" applyNumberFormat="1" applyFill="1" applyBorder="1"/>
    <xf numFmtId="0" fontId="0" fillId="0" borderId="0" xfId="0" applyNumberFormat="1" applyBorder="1"/>
    <xf numFmtId="49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1202"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89"/>
  <sheetViews>
    <sheetView tabSelected="1" zoomScale="70" zoomScaleNormal="70" workbookViewId="0">
      <selection activeCell="P57" sqref="P57"/>
    </sheetView>
  </sheetViews>
  <sheetFormatPr defaultColWidth="8.7109375" defaultRowHeight="15" x14ac:dyDescent="0.25"/>
  <cols>
    <col min="1" max="1" width="6.28515625" style="14" bestFit="1" customWidth="1"/>
    <col min="2" max="2" width="8.7109375" style="12"/>
    <col min="3" max="3" width="8.7109375" style="7"/>
    <col min="4" max="4" width="9.7109375" style="7" bestFit="1" customWidth="1"/>
    <col min="5" max="5" width="45.7109375" style="7" customWidth="1"/>
    <col min="6" max="6" width="8.7109375" style="7"/>
    <col min="7" max="7" width="20.85546875" style="7" bestFit="1" customWidth="1"/>
    <col min="8" max="8" width="16.7109375" style="7" customWidth="1"/>
    <col min="9" max="9" width="10.85546875" style="7" bestFit="1" customWidth="1"/>
    <col min="10" max="10" width="15.5703125" style="7" customWidth="1"/>
    <col min="11" max="11" width="9.85546875" style="7" bestFit="1" customWidth="1"/>
    <col min="12" max="12" width="19.140625" style="7" bestFit="1" customWidth="1"/>
    <col min="13" max="23" width="8.7109375" style="7"/>
    <col min="24" max="24" width="13" style="7" customWidth="1"/>
    <col min="25" max="25" width="34.42578125" style="7" bestFit="1" customWidth="1"/>
    <col min="26" max="26" width="74.85546875" style="7" customWidth="1"/>
    <col min="27" max="27" width="8.7109375" style="7"/>
    <col min="28" max="28" width="162.5703125" style="7" bestFit="1" customWidth="1"/>
    <col min="29" max="29" width="8.7109375" style="7"/>
    <col min="30" max="30" width="130.85546875" style="12" customWidth="1"/>
    <col min="31" max="31" width="88.28515625" style="7" bestFit="1" customWidth="1"/>
    <col min="32" max="33" width="8.7109375" style="7"/>
    <col min="34" max="34" width="103" style="7" customWidth="1"/>
    <col min="35" max="35" width="122.28515625" style="12" bestFit="1" customWidth="1"/>
    <col min="36" max="36" width="73.7109375" style="7" bestFit="1" customWidth="1"/>
    <col min="37" max="16384" width="8.7109375" style="7"/>
  </cols>
  <sheetData>
    <row r="1" spans="1:36" x14ac:dyDescent="0.25">
      <c r="AB1" s="3" t="s">
        <v>50</v>
      </c>
      <c r="AI1" s="12" t="s">
        <v>79</v>
      </c>
    </row>
    <row r="2" spans="1:36" x14ac:dyDescent="0.25">
      <c r="AB2" s="3" t="s">
        <v>75</v>
      </c>
    </row>
    <row r="3" spans="1:36" x14ac:dyDescent="0.25">
      <c r="C3" s="7" t="s">
        <v>53</v>
      </c>
      <c r="AB3" s="3" t="s">
        <v>50</v>
      </c>
    </row>
    <row r="4" spans="1:36" x14ac:dyDescent="0.25">
      <c r="AB4" s="3" t="str">
        <f>C3</f>
        <v>StructStr Screens[MAX_QTY_SCR][MAX_STR] = // структура экрана</v>
      </c>
    </row>
    <row r="5" spans="1:36" x14ac:dyDescent="0.25">
      <c r="A5" s="14">
        <v>0</v>
      </c>
      <c r="B5" s="12" t="s">
        <v>98</v>
      </c>
      <c r="D5" s="7" t="s">
        <v>54</v>
      </c>
      <c r="AB5" s="3" t="s">
        <v>24</v>
      </c>
    </row>
    <row r="6" spans="1:36" s="1" customFormat="1" ht="45" x14ac:dyDescent="0.25">
      <c r="A6" s="15" t="s">
        <v>78</v>
      </c>
      <c r="B6" s="18"/>
      <c r="C6" s="6" t="s">
        <v>25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</v>
      </c>
      <c r="J6" s="6" t="s">
        <v>3</v>
      </c>
      <c r="K6" s="6" t="s">
        <v>4</v>
      </c>
      <c r="L6" s="6" t="s">
        <v>5</v>
      </c>
      <c r="M6" s="6" t="s">
        <v>6</v>
      </c>
      <c r="N6" s="6" t="s">
        <v>7</v>
      </c>
      <c r="O6" s="6" t="s">
        <v>8</v>
      </c>
      <c r="P6" s="6" t="s">
        <v>9</v>
      </c>
      <c r="Q6" s="6" t="s">
        <v>10</v>
      </c>
      <c r="R6" s="6" t="s">
        <v>11</v>
      </c>
      <c r="S6" s="6" t="s">
        <v>12</v>
      </c>
      <c r="T6" s="6" t="s">
        <v>13</v>
      </c>
      <c r="U6" s="6" t="s">
        <v>14</v>
      </c>
      <c r="V6" s="6" t="s">
        <v>15</v>
      </c>
      <c r="W6" s="6" t="s">
        <v>16</v>
      </c>
      <c r="X6" s="6" t="s">
        <v>76</v>
      </c>
      <c r="Y6" s="6" t="s">
        <v>80</v>
      </c>
      <c r="Z6" s="6" t="s">
        <v>97</v>
      </c>
      <c r="AB6" s="2" t="str">
        <f>CONCATENATE(D5," - ","Главный")</f>
        <v>//Экран 0 - Главный</v>
      </c>
      <c r="AD6" s="19" t="s">
        <v>81</v>
      </c>
      <c r="AE6" s="19" t="s">
        <v>82</v>
      </c>
      <c r="AF6" s="5"/>
      <c r="AG6" s="5"/>
      <c r="AH6" s="19" t="s">
        <v>83</v>
      </c>
      <c r="AI6" s="19" t="s">
        <v>84</v>
      </c>
      <c r="AJ6" s="19" t="s">
        <v>85</v>
      </c>
    </row>
    <row r="7" spans="1:36" s="1" customFormat="1" x14ac:dyDescent="0.25">
      <c r="A7" s="16"/>
      <c r="B7" s="13"/>
      <c r="C7" s="4" t="s">
        <v>24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  <c r="Y7" s="11"/>
      <c r="Z7" s="11"/>
      <c r="AB7" s="3" t="str">
        <f>C7</f>
        <v>{</v>
      </c>
      <c r="AD7" s="12"/>
      <c r="AE7" s="7"/>
      <c r="AF7" s="7"/>
      <c r="AG7" s="7"/>
      <c r="AH7" s="7"/>
      <c r="AI7" s="12"/>
      <c r="AJ7" s="7"/>
    </row>
    <row r="8" spans="1:36" x14ac:dyDescent="0.25">
      <c r="A8" s="17">
        <v>0</v>
      </c>
      <c r="B8" s="8" t="s">
        <v>27</v>
      </c>
      <c r="C8" s="4" t="s">
        <v>24</v>
      </c>
      <c r="D8" s="5" t="s">
        <v>0</v>
      </c>
      <c r="E8" s="5" t="s">
        <v>109</v>
      </c>
      <c r="F8" s="5" t="s">
        <v>1</v>
      </c>
      <c r="G8" s="5" t="s">
        <v>108</v>
      </c>
      <c r="H8" s="17" t="str">
        <f t="shared" ref="H8:H14" si="0">IF(AND(I8="true",J8="false"),""" ""","""""")</f>
        <v>""</v>
      </c>
      <c r="I8" s="5" t="s">
        <v>47</v>
      </c>
      <c r="J8" s="5" t="s">
        <v>47</v>
      </c>
      <c r="K8" s="5" t="s">
        <v>47</v>
      </c>
      <c r="L8" s="5" t="s">
        <v>46</v>
      </c>
      <c r="M8" s="5" t="s">
        <v>48</v>
      </c>
      <c r="N8" s="8">
        <v>8</v>
      </c>
      <c r="O8" s="5" t="s">
        <v>86</v>
      </c>
      <c r="P8" s="5" t="s">
        <v>86</v>
      </c>
      <c r="Q8" s="5" t="s">
        <v>117</v>
      </c>
      <c r="R8" s="5" t="s">
        <v>101</v>
      </c>
      <c r="S8" s="5" t="s">
        <v>90</v>
      </c>
      <c r="T8" s="5" t="s">
        <v>46</v>
      </c>
      <c r="U8" s="5" t="s">
        <v>46</v>
      </c>
      <c r="V8" s="5" t="s">
        <v>46</v>
      </c>
      <c r="W8" s="5">
        <v>0</v>
      </c>
      <c r="X8" s="10" t="s">
        <v>77</v>
      </c>
      <c r="Y8" s="5" t="s">
        <v>112</v>
      </c>
      <c r="Z8" s="10" t="s">
        <v>119</v>
      </c>
      <c r="AB8" s="2" t="str">
        <f>CONCATENATE(B8,C8,D8,",""",E8,""",",F8,",",G8,",",H8,",",I8,",",J8,",",K8,",",L8,",",M8,",",N8,",",O8,",",P8,",",Q8,",",R8,",",S8,",",T8,",",U8,",",V8,",",W8,"},//",Y8)</f>
        <v>/*0*/{" ","Зад. Напр.",""," В","",true,true,true,false,100.0,8,0,0,400.0,50.0,1.0,false,false,false,0},//Задание напряжения, В</v>
      </c>
      <c r="AD8" s="12" t="str">
        <f t="shared" ref="AD8:AD26" si="1">IF(X8="Да",IF(T8="false",CONCATENATE("float &amp;",SUBSTITUTE(Z8," ","")," = Screens[",$A$5,"][",A8,"].Param;// Ссылка. ",$Y$32,". ",Y8),CONCATENATE("bool &amp;",SUBSTITUTE(Z8," ","")," = Screens[",$A$5,"][",A8,"].BoolParam;// Ссылка. ",$Y$32,". ",Y8)),"")</f>
        <v/>
      </c>
      <c r="AE8" s="12" t="str">
        <f t="shared" ref="AE8:AE27" si="2">IF(X8="Да",IF(T8="false",CONCATENATE("float ",SUBSTITUTE(Z8," ",""),"; //",$Y$7,". ",Y8),CONCATENATE("bool ",SUBSTITUTE(Z8," ",""),"; //",$Y$7,". ",Y8)),"")</f>
        <v/>
      </c>
      <c r="AH8" s="12" t="str">
        <f t="shared" ref="AH8:AH26" si="3">IF(X8="Да",CONCATENATE("Ref.",,SUBSTITUTE(Z8," ","")," = ",$AI$1,SUBSTITUTE(Z8," ",""),";//",$Y$32,". ",Y8),"")</f>
        <v/>
      </c>
      <c r="AI8" s="12" t="str">
        <f t="shared" ref="AI8:AI27" si="4">IF(X8="Да",CONCATENATE($AI$1,SUBSTITUTE(Z8," ","")," = Ref.",SUBSTITUTE(Z8," ",""),";//",$Y$32,". ",Y8),"")</f>
        <v/>
      </c>
      <c r="AJ8" s="12" t="str">
        <f t="shared" ref="AJ8:AJ26" si="5">IF(X8="Да",IF(T8="false",CONCATENATE($AI$1,SUBSTITUTE(Z8," ","")," = ",M8,";//",$Y$32,". ",Y8),CONCATENATE($AI$1,SUBSTITUTE(Z8," ","")," = ",U8,";//",$Y$32,". ",Y8)),"")</f>
        <v/>
      </c>
    </row>
    <row r="9" spans="1:36" x14ac:dyDescent="0.25">
      <c r="A9" s="17">
        <f>A8+1</f>
        <v>1</v>
      </c>
      <c r="B9" s="8" t="s">
        <v>26</v>
      </c>
      <c r="C9" s="4" t="s">
        <v>24</v>
      </c>
      <c r="D9" s="5" t="s">
        <v>0</v>
      </c>
      <c r="E9" s="5" t="s">
        <v>107</v>
      </c>
      <c r="F9" s="5" t="s">
        <v>1</v>
      </c>
      <c r="G9" s="5" t="s">
        <v>108</v>
      </c>
      <c r="H9" s="17" t="str">
        <f t="shared" si="0"/>
        <v>""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48</v>
      </c>
      <c r="N9" s="8">
        <f>N8</f>
        <v>8</v>
      </c>
      <c r="O9" s="5" t="s">
        <v>87</v>
      </c>
      <c r="P9" s="5">
        <v>0</v>
      </c>
      <c r="Q9" s="5" t="s">
        <v>23</v>
      </c>
      <c r="R9" s="5" t="s">
        <v>23</v>
      </c>
      <c r="S9" s="5" t="s">
        <v>23</v>
      </c>
      <c r="T9" s="5" t="s">
        <v>46</v>
      </c>
      <c r="U9" s="5" t="s">
        <v>46</v>
      </c>
      <c r="V9" s="5" t="s">
        <v>46</v>
      </c>
      <c r="W9" s="5">
        <v>0</v>
      </c>
      <c r="X9" s="10" t="s">
        <v>77</v>
      </c>
      <c r="Y9" s="5" t="s">
        <v>118</v>
      </c>
      <c r="Z9" s="10" t="s">
        <v>113</v>
      </c>
      <c r="AB9" s="2" t="str">
        <f>CONCATENATE(B9,C9,D9,",""",E9,""",",F9,",",G9,",",H9,",",I9,",",J9,",",K9,",",L9,",",M9,",",N9,",",O9,",",P9,",",Q9,",",R9,",",S9,",",T9,",",U9,",",V9,",",W9,"},//",Y9)</f>
        <v>/*1*/{" ","Тек. Напр.",""," В","",true,true,true,true,100.0,8,1,0,0.0,0.0,0.0,false,false,false,0},//Текущее напряжение, В</v>
      </c>
      <c r="AD9" s="12" t="str">
        <f t="shared" si="1"/>
        <v/>
      </c>
      <c r="AE9" s="12" t="str">
        <f t="shared" si="2"/>
        <v/>
      </c>
      <c r="AH9" s="12" t="str">
        <f t="shared" si="3"/>
        <v/>
      </c>
      <c r="AI9" s="12" t="str">
        <f t="shared" si="4"/>
        <v/>
      </c>
      <c r="AJ9" s="12" t="str">
        <f t="shared" si="5"/>
        <v/>
      </c>
    </row>
    <row r="10" spans="1:36" x14ac:dyDescent="0.25">
      <c r="A10" s="17">
        <f t="shared" ref="A10:A27" si="6">A9+1</f>
        <v>2</v>
      </c>
      <c r="B10" s="8" t="s">
        <v>28</v>
      </c>
      <c r="C10" s="4" t="s">
        <v>24</v>
      </c>
      <c r="D10" s="5" t="s">
        <v>0</v>
      </c>
      <c r="E10" s="8" t="s">
        <v>123</v>
      </c>
      <c r="F10" s="5" t="s">
        <v>1</v>
      </c>
      <c r="G10" s="5" t="s">
        <v>108</v>
      </c>
      <c r="H10" s="17" t="str">
        <f t="shared" si="0"/>
        <v>""</v>
      </c>
      <c r="I10" s="5" t="s">
        <v>47</v>
      </c>
      <c r="J10" s="5" t="s">
        <v>47</v>
      </c>
      <c r="K10" s="5" t="s">
        <v>47</v>
      </c>
      <c r="L10" s="5" t="s">
        <v>46</v>
      </c>
      <c r="M10" s="5" t="s">
        <v>103</v>
      </c>
      <c r="N10" s="8">
        <f t="shared" ref="N10:N14" si="7">N9</f>
        <v>8</v>
      </c>
      <c r="O10" s="5">
        <v>0</v>
      </c>
      <c r="P10" s="5">
        <v>0</v>
      </c>
      <c r="Q10" s="5" t="s">
        <v>110</v>
      </c>
      <c r="R10" s="5" t="s">
        <v>90</v>
      </c>
      <c r="S10" s="5" t="s">
        <v>111</v>
      </c>
      <c r="T10" s="5" t="s">
        <v>46</v>
      </c>
      <c r="U10" s="5" t="s">
        <v>46</v>
      </c>
      <c r="V10" s="5" t="s">
        <v>46</v>
      </c>
      <c r="W10" s="5">
        <v>0</v>
      </c>
      <c r="X10" s="10" t="s">
        <v>77</v>
      </c>
      <c r="Y10" s="8" t="s">
        <v>115</v>
      </c>
      <c r="Z10" s="20" t="s">
        <v>114</v>
      </c>
      <c r="AB10" s="2" t="str">
        <f t="shared" ref="AB10:AB26" si="8">CONCATENATE(B10,C10,D10,",""",E10,""",",F10,",",G10,",",H10,",",I10,",",J10,",",K10,",",L10,",",M10,",",N10,",",O10,",",P10,",",Q10,",",R10,",",S10,",",T10,",",U10,",",V10,",",W10,"},//",Y10)</f>
        <v>/*2*/{" ","Гистерезис +-",""," В","",true,true,true,false,3.0,8,0,0,15.0,1.0,0.5,false,false,false,0},//Дельта напряжения, В</v>
      </c>
      <c r="AD10" s="12" t="str">
        <f t="shared" si="1"/>
        <v/>
      </c>
      <c r="AE10" s="12" t="str">
        <f t="shared" si="2"/>
        <v/>
      </c>
      <c r="AH10" s="12" t="str">
        <f t="shared" si="3"/>
        <v/>
      </c>
      <c r="AI10" s="12" t="str">
        <f t="shared" si="4"/>
        <v/>
      </c>
      <c r="AJ10" s="12" t="str">
        <f t="shared" si="5"/>
        <v/>
      </c>
    </row>
    <row r="11" spans="1:36" x14ac:dyDescent="0.25">
      <c r="A11" s="17">
        <f t="shared" si="6"/>
        <v>3</v>
      </c>
      <c r="B11" s="8" t="s">
        <v>29</v>
      </c>
      <c r="C11" s="4" t="s">
        <v>24</v>
      </c>
      <c r="D11" s="5" t="s">
        <v>0</v>
      </c>
      <c r="E11" s="5" t="s">
        <v>116</v>
      </c>
      <c r="F11" s="5" t="s">
        <v>1</v>
      </c>
      <c r="G11" s="5" t="s">
        <v>95</v>
      </c>
      <c r="H11" s="17" t="str">
        <f t="shared" si="0"/>
        <v>""</v>
      </c>
      <c r="I11" s="5" t="s">
        <v>47</v>
      </c>
      <c r="J11" s="5" t="s">
        <v>47</v>
      </c>
      <c r="K11" s="5" t="s">
        <v>47</v>
      </c>
      <c r="L11" s="5" t="s">
        <v>46</v>
      </c>
      <c r="M11" s="5" t="s">
        <v>48</v>
      </c>
      <c r="N11" s="8">
        <f t="shared" si="7"/>
        <v>8</v>
      </c>
      <c r="O11" s="5">
        <v>0</v>
      </c>
      <c r="P11" s="5">
        <v>0</v>
      </c>
      <c r="Q11" s="5" t="s">
        <v>48</v>
      </c>
      <c r="R11" s="5" t="s">
        <v>101</v>
      </c>
      <c r="S11" s="5" t="s">
        <v>120</v>
      </c>
      <c r="T11" s="5" t="s">
        <v>46</v>
      </c>
      <c r="U11" s="5" t="s">
        <v>46</v>
      </c>
      <c r="V11" s="5" t="s">
        <v>46</v>
      </c>
      <c r="W11" s="5">
        <v>0</v>
      </c>
      <c r="X11" s="10" t="s">
        <v>77</v>
      </c>
      <c r="Y11" s="5" t="s">
        <v>121</v>
      </c>
      <c r="Z11" s="10" t="s">
        <v>127</v>
      </c>
      <c r="AB11" s="2" t="str">
        <f t="shared" si="8"/>
        <v>/*3*/{" ","Чувствительность",""," %","",true,true,true,false,100.0,8,0,0,100.0,50.0,5.0,false,false,false,0},//Чувствительность, 50-100%</v>
      </c>
      <c r="AD11" s="12" t="str">
        <f t="shared" si="1"/>
        <v/>
      </c>
      <c r="AE11" s="12" t="str">
        <f t="shared" si="2"/>
        <v/>
      </c>
      <c r="AH11" s="12" t="str">
        <f t="shared" si="3"/>
        <v/>
      </c>
      <c r="AI11" s="12" t="str">
        <f t="shared" si="4"/>
        <v/>
      </c>
      <c r="AJ11" s="12" t="str">
        <f t="shared" si="5"/>
        <v/>
      </c>
    </row>
    <row r="12" spans="1:36" x14ac:dyDescent="0.25">
      <c r="A12" s="17">
        <f t="shared" si="6"/>
        <v>4</v>
      </c>
      <c r="B12" s="8" t="s">
        <v>30</v>
      </c>
      <c r="C12" s="4" t="s">
        <v>24</v>
      </c>
      <c r="D12" s="5" t="s">
        <v>0</v>
      </c>
      <c r="E12" s="5" t="s">
        <v>92</v>
      </c>
      <c r="F12" s="5" t="s">
        <v>1</v>
      </c>
      <c r="G12" s="5" t="s">
        <v>95</v>
      </c>
      <c r="H12" s="17" t="str">
        <f t="shared" si="0"/>
        <v>""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48</v>
      </c>
      <c r="N12" s="8">
        <f t="shared" si="7"/>
        <v>8</v>
      </c>
      <c r="O12" s="5">
        <v>0</v>
      </c>
      <c r="P12" s="5">
        <v>0</v>
      </c>
      <c r="Q12" s="5" t="s">
        <v>48</v>
      </c>
      <c r="R12" s="5" t="s">
        <v>101</v>
      </c>
      <c r="S12" s="5" t="s">
        <v>120</v>
      </c>
      <c r="T12" s="5" t="s">
        <v>46</v>
      </c>
      <c r="U12" s="5" t="s">
        <v>46</v>
      </c>
      <c r="V12" s="5" t="s">
        <v>46</v>
      </c>
      <c r="W12" s="5">
        <v>0</v>
      </c>
      <c r="X12" s="10" t="s">
        <v>77</v>
      </c>
      <c r="Y12" s="5" t="s">
        <v>122</v>
      </c>
      <c r="Z12" s="10" t="s">
        <v>124</v>
      </c>
      <c r="AB12" s="2" t="str">
        <f t="shared" si="8"/>
        <v>/*4*/{" ","Скорость",""," %","",true,true,true,true,100.0,8,0,0,100.0,50.0,5.0,false,false,false,0},//Скорость, 50-100%</v>
      </c>
      <c r="AD12" s="12" t="str">
        <f t="shared" si="1"/>
        <v/>
      </c>
      <c r="AE12" s="12" t="str">
        <f t="shared" si="2"/>
        <v/>
      </c>
      <c r="AH12" s="12" t="str">
        <f t="shared" si="3"/>
        <v/>
      </c>
      <c r="AI12" s="12" t="str">
        <f t="shared" si="4"/>
        <v/>
      </c>
      <c r="AJ12" s="12" t="str">
        <f t="shared" si="5"/>
        <v/>
      </c>
    </row>
    <row r="13" spans="1:36" x14ac:dyDescent="0.25">
      <c r="A13" s="17">
        <f t="shared" si="6"/>
        <v>5</v>
      </c>
      <c r="B13" s="8" t="s">
        <v>31</v>
      </c>
      <c r="C13" s="4" t="s">
        <v>24</v>
      </c>
      <c r="D13" s="5" t="s">
        <v>0</v>
      </c>
      <c r="E13" s="5" t="s">
        <v>125</v>
      </c>
      <c r="F13" s="5" t="s">
        <v>1</v>
      </c>
      <c r="G13" s="5" t="s">
        <v>1</v>
      </c>
      <c r="H13" s="17" t="str">
        <f t="shared" si="0"/>
        <v>" "</v>
      </c>
      <c r="I13" s="5" t="s">
        <v>47</v>
      </c>
      <c r="J13" s="5" t="s">
        <v>46</v>
      </c>
      <c r="K13" s="5" t="s">
        <v>46</v>
      </c>
      <c r="L13" s="5" t="s">
        <v>46</v>
      </c>
      <c r="M13" s="5" t="s">
        <v>22</v>
      </c>
      <c r="N13" s="8">
        <f t="shared" si="7"/>
        <v>8</v>
      </c>
      <c r="O13" s="5">
        <v>0</v>
      </c>
      <c r="P13" s="5">
        <v>0</v>
      </c>
      <c r="Q13" s="5" t="s">
        <v>22</v>
      </c>
      <c r="R13" s="5" t="s">
        <v>90</v>
      </c>
      <c r="S13" s="5" t="s">
        <v>90</v>
      </c>
      <c r="T13" s="5" t="s">
        <v>46</v>
      </c>
      <c r="U13" s="5" t="s">
        <v>46</v>
      </c>
      <c r="V13" s="5" t="s">
        <v>46</v>
      </c>
      <c r="W13" s="5">
        <v>0</v>
      </c>
      <c r="X13" s="10" t="s">
        <v>77</v>
      </c>
      <c r="Y13" s="5"/>
      <c r="Z13" s="10"/>
      <c r="AB13" s="2" t="str">
        <f t="shared" si="8"/>
        <v>/*5*/{" ","Программа","",""," ",true,false,false,false,10.0,8,0,0,10.0,1.0,1.0,false,false,false,0},//</v>
      </c>
      <c r="AD13" s="12" t="str">
        <f t="shared" si="1"/>
        <v/>
      </c>
      <c r="AE13" s="12" t="str">
        <f t="shared" si="2"/>
        <v/>
      </c>
      <c r="AH13" s="12" t="str">
        <f t="shared" si="3"/>
        <v/>
      </c>
      <c r="AI13" s="12" t="str">
        <f t="shared" si="4"/>
        <v/>
      </c>
      <c r="AJ13" s="12" t="str">
        <f t="shared" si="5"/>
        <v/>
      </c>
    </row>
    <row r="14" spans="1:36" x14ac:dyDescent="0.25">
      <c r="A14" s="17">
        <f t="shared" si="6"/>
        <v>6</v>
      </c>
      <c r="B14" s="8" t="s">
        <v>32</v>
      </c>
      <c r="C14" s="4" t="s">
        <v>24</v>
      </c>
      <c r="D14" s="5" t="s">
        <v>0</v>
      </c>
      <c r="E14" s="5" t="s">
        <v>126</v>
      </c>
      <c r="F14" s="5" t="s">
        <v>1</v>
      </c>
      <c r="G14" s="5" t="s">
        <v>1</v>
      </c>
      <c r="H14" s="17" t="str">
        <f t="shared" si="0"/>
        <v>" "</v>
      </c>
      <c r="I14" s="5" t="s">
        <v>47</v>
      </c>
      <c r="J14" s="5" t="s">
        <v>46</v>
      </c>
      <c r="K14" s="5" t="s">
        <v>46</v>
      </c>
      <c r="L14" s="5" t="s">
        <v>46</v>
      </c>
      <c r="M14" s="5" t="s">
        <v>22</v>
      </c>
      <c r="N14" s="8">
        <f t="shared" si="7"/>
        <v>8</v>
      </c>
      <c r="O14" s="5">
        <v>0</v>
      </c>
      <c r="P14" s="5">
        <v>0</v>
      </c>
      <c r="Q14" s="5" t="s">
        <v>23</v>
      </c>
      <c r="R14" s="5" t="s">
        <v>23</v>
      </c>
      <c r="S14" s="5" t="s">
        <v>23</v>
      </c>
      <c r="T14" s="5" t="s">
        <v>47</v>
      </c>
      <c r="U14" s="5" t="s">
        <v>47</v>
      </c>
      <c r="V14" s="5" t="s">
        <v>46</v>
      </c>
      <c r="W14" s="5">
        <v>0</v>
      </c>
      <c r="X14" s="10" t="s">
        <v>77</v>
      </c>
      <c r="Y14" s="5"/>
      <c r="Z14" s="10"/>
      <c r="AB14" s="2" t="str">
        <f t="shared" si="8"/>
        <v>/*6*/{" ","Сохранить","",""," ",true,false,false,false,10.0,8,0,0,0.0,0.0,0.0,true,true,false,0},//</v>
      </c>
      <c r="AD14" s="12" t="str">
        <f t="shared" si="1"/>
        <v/>
      </c>
      <c r="AE14" s="12" t="str">
        <f t="shared" si="2"/>
        <v/>
      </c>
      <c r="AH14" s="12" t="str">
        <f t="shared" si="3"/>
        <v/>
      </c>
      <c r="AI14" s="12" t="str">
        <f t="shared" si="4"/>
        <v/>
      </c>
      <c r="AJ14" s="12" t="str">
        <f t="shared" si="5"/>
        <v/>
      </c>
    </row>
    <row r="15" spans="1:36" x14ac:dyDescent="0.25">
      <c r="A15" s="17">
        <f t="shared" si="6"/>
        <v>7</v>
      </c>
      <c r="B15" s="8" t="s">
        <v>33</v>
      </c>
      <c r="C15" s="4" t="s">
        <v>24</v>
      </c>
      <c r="D15" s="5" t="s">
        <v>0</v>
      </c>
      <c r="E15" s="5"/>
      <c r="F15" s="5" t="s">
        <v>1</v>
      </c>
      <c r="G15" s="5" t="s">
        <v>1</v>
      </c>
      <c r="H15" s="17" t="str">
        <f t="shared" ref="H15:H27" si="9">IF(AND(I15="true",J15="false"),""" ""","""""")</f>
        <v>""</v>
      </c>
      <c r="I15" s="5" t="s">
        <v>46</v>
      </c>
      <c r="J15" s="5" t="s">
        <v>46</v>
      </c>
      <c r="K15" s="5" t="s">
        <v>46</v>
      </c>
      <c r="L15" s="5" t="s">
        <v>46</v>
      </c>
      <c r="M15" s="5" t="s">
        <v>22</v>
      </c>
      <c r="N15" s="8">
        <f t="shared" ref="N15:N27" si="10">N14</f>
        <v>8</v>
      </c>
      <c r="O15" s="5" t="s">
        <v>86</v>
      </c>
      <c r="P15" s="5">
        <v>0</v>
      </c>
      <c r="Q15" s="5" t="s">
        <v>48</v>
      </c>
      <c r="R15" s="5" t="s">
        <v>23</v>
      </c>
      <c r="S15" s="5" t="s">
        <v>49</v>
      </c>
      <c r="T15" s="5" t="s">
        <v>46</v>
      </c>
      <c r="U15" s="5" t="s">
        <v>46</v>
      </c>
      <c r="V15" s="5" t="s">
        <v>46</v>
      </c>
      <c r="W15" s="5">
        <v>0</v>
      </c>
      <c r="X15" s="5" t="s">
        <v>77</v>
      </c>
      <c r="Y15" s="10"/>
      <c r="Z15" s="10"/>
      <c r="AB15" s="2" t="str">
        <f t="shared" si="8"/>
        <v>/*7*/{" ","","","","",false,false,false,false,10.0,8,0,0,100.0,0.0,0.1,false,false,false,0},//</v>
      </c>
      <c r="AD15" s="12" t="str">
        <f t="shared" si="1"/>
        <v/>
      </c>
      <c r="AE15" s="12" t="str">
        <f t="shared" si="2"/>
        <v/>
      </c>
      <c r="AH15" s="12" t="str">
        <f t="shared" si="3"/>
        <v/>
      </c>
      <c r="AI15" s="12" t="str">
        <f t="shared" si="4"/>
        <v/>
      </c>
      <c r="AJ15" s="12" t="str">
        <f t="shared" si="5"/>
        <v/>
      </c>
    </row>
    <row r="16" spans="1:36" x14ac:dyDescent="0.25">
      <c r="A16" s="17">
        <f t="shared" si="6"/>
        <v>8</v>
      </c>
      <c r="B16" s="8" t="s">
        <v>34</v>
      </c>
      <c r="C16" s="4" t="s">
        <v>24</v>
      </c>
      <c r="D16" s="5" t="s">
        <v>0</v>
      </c>
      <c r="E16" s="5"/>
      <c r="F16" s="5" t="s">
        <v>1</v>
      </c>
      <c r="G16" s="5" t="s">
        <v>1</v>
      </c>
      <c r="H16" s="17" t="str">
        <f t="shared" si="9"/>
        <v>""</v>
      </c>
      <c r="I16" s="5" t="s">
        <v>46</v>
      </c>
      <c r="J16" s="5" t="s">
        <v>46</v>
      </c>
      <c r="K16" s="5" t="s">
        <v>46</v>
      </c>
      <c r="L16" s="5" t="s">
        <v>46</v>
      </c>
      <c r="M16" s="5" t="s">
        <v>22</v>
      </c>
      <c r="N16" s="8">
        <f t="shared" si="10"/>
        <v>8</v>
      </c>
      <c r="O16" s="5" t="s">
        <v>86</v>
      </c>
      <c r="P16" s="5">
        <v>0</v>
      </c>
      <c r="Q16" s="5" t="s">
        <v>48</v>
      </c>
      <c r="R16" s="5" t="s">
        <v>23</v>
      </c>
      <c r="S16" s="5" t="s">
        <v>23</v>
      </c>
      <c r="T16" s="5" t="s">
        <v>46</v>
      </c>
      <c r="U16" s="5" t="s">
        <v>46</v>
      </c>
      <c r="V16" s="5" t="s">
        <v>46</v>
      </c>
      <c r="W16" s="5">
        <v>0</v>
      </c>
      <c r="X16" s="5" t="s">
        <v>77</v>
      </c>
      <c r="Y16" s="10"/>
      <c r="Z16" s="10"/>
      <c r="AB16" s="2" t="str">
        <f t="shared" si="8"/>
        <v>/*8*/{" ","","","","",false,false,false,false,10.0,8,0,0,100.0,0.0,0.0,false,false,false,0},//</v>
      </c>
      <c r="AD16" s="12" t="str">
        <f t="shared" si="1"/>
        <v/>
      </c>
      <c r="AE16" s="12" t="str">
        <f t="shared" si="2"/>
        <v/>
      </c>
      <c r="AH16" s="12" t="str">
        <f t="shared" si="3"/>
        <v/>
      </c>
      <c r="AI16" s="12" t="str">
        <f t="shared" si="4"/>
        <v/>
      </c>
      <c r="AJ16" s="12" t="str">
        <f t="shared" si="5"/>
        <v/>
      </c>
    </row>
    <row r="17" spans="1:36" x14ac:dyDescent="0.25">
      <c r="A17" s="17">
        <f t="shared" si="6"/>
        <v>9</v>
      </c>
      <c r="B17" s="8" t="s">
        <v>35</v>
      </c>
      <c r="C17" s="4" t="s">
        <v>24</v>
      </c>
      <c r="D17" s="5" t="s">
        <v>0</v>
      </c>
      <c r="E17" s="5"/>
      <c r="F17" s="5" t="s">
        <v>1</v>
      </c>
      <c r="G17" s="5" t="s">
        <v>1</v>
      </c>
      <c r="H17" s="17" t="str">
        <f t="shared" si="9"/>
        <v>""</v>
      </c>
      <c r="I17" s="5" t="s">
        <v>46</v>
      </c>
      <c r="J17" s="5" t="s">
        <v>46</v>
      </c>
      <c r="K17" s="5" t="s">
        <v>46</v>
      </c>
      <c r="L17" s="5" t="s">
        <v>46</v>
      </c>
      <c r="M17" s="5" t="s">
        <v>22</v>
      </c>
      <c r="N17" s="8">
        <f t="shared" si="10"/>
        <v>8</v>
      </c>
      <c r="O17" s="5" t="s">
        <v>86</v>
      </c>
      <c r="P17" s="5">
        <v>0</v>
      </c>
      <c r="Q17" s="5" t="s">
        <v>48</v>
      </c>
      <c r="R17" s="5" t="s">
        <v>23</v>
      </c>
      <c r="S17" s="5" t="s">
        <v>23</v>
      </c>
      <c r="T17" s="5" t="s">
        <v>46</v>
      </c>
      <c r="U17" s="5" t="s">
        <v>46</v>
      </c>
      <c r="V17" s="5" t="s">
        <v>46</v>
      </c>
      <c r="W17" s="5">
        <v>0</v>
      </c>
      <c r="X17" s="5" t="s">
        <v>77</v>
      </c>
      <c r="Y17" s="10"/>
      <c r="Z17" s="10"/>
      <c r="AB17" s="2" t="str">
        <f t="shared" si="8"/>
        <v>/*9*/{" ","","","","",false,false,false,false,10.0,8,0,0,100.0,0.0,0.0,false,false,false,0},//</v>
      </c>
      <c r="AD17" s="12" t="str">
        <f t="shared" si="1"/>
        <v/>
      </c>
      <c r="AE17" s="12" t="str">
        <f t="shared" si="2"/>
        <v/>
      </c>
      <c r="AH17" s="12" t="str">
        <f t="shared" si="3"/>
        <v/>
      </c>
      <c r="AI17" s="12" t="str">
        <f t="shared" si="4"/>
        <v/>
      </c>
      <c r="AJ17" s="12" t="str">
        <f t="shared" si="5"/>
        <v/>
      </c>
    </row>
    <row r="18" spans="1:36" x14ac:dyDescent="0.25">
      <c r="A18" s="17">
        <f t="shared" si="6"/>
        <v>10</v>
      </c>
      <c r="B18" s="8" t="s">
        <v>36</v>
      </c>
      <c r="C18" s="4" t="s">
        <v>24</v>
      </c>
      <c r="D18" s="5" t="s">
        <v>0</v>
      </c>
      <c r="E18" s="5"/>
      <c r="F18" s="5" t="s">
        <v>1</v>
      </c>
      <c r="G18" s="5" t="s">
        <v>1</v>
      </c>
      <c r="H18" s="17" t="str">
        <f t="shared" si="9"/>
        <v>""</v>
      </c>
      <c r="I18" s="5" t="s">
        <v>46</v>
      </c>
      <c r="J18" s="5" t="s">
        <v>46</v>
      </c>
      <c r="K18" s="5" t="s">
        <v>46</v>
      </c>
      <c r="L18" s="5" t="s">
        <v>46</v>
      </c>
      <c r="M18" s="5" t="s">
        <v>22</v>
      </c>
      <c r="N18" s="8">
        <f t="shared" si="10"/>
        <v>8</v>
      </c>
      <c r="O18" s="5" t="s">
        <v>86</v>
      </c>
      <c r="P18" s="5">
        <v>0</v>
      </c>
      <c r="Q18" s="5" t="s">
        <v>23</v>
      </c>
      <c r="R18" s="5" t="s">
        <v>23</v>
      </c>
      <c r="S18" s="5" t="s">
        <v>23</v>
      </c>
      <c r="T18" s="5" t="s">
        <v>46</v>
      </c>
      <c r="U18" s="5" t="s">
        <v>46</v>
      </c>
      <c r="V18" s="5" t="s">
        <v>46</v>
      </c>
      <c r="W18" s="5">
        <v>0</v>
      </c>
      <c r="X18" s="5" t="s">
        <v>77</v>
      </c>
      <c r="Y18" s="10"/>
      <c r="Z18" s="10"/>
      <c r="AB18" s="2" t="str">
        <f t="shared" si="8"/>
        <v>/*10*/{" ","","","","",false,false,false,false,10.0,8,0,0,0.0,0.0,0.0,false,false,false,0},//</v>
      </c>
      <c r="AD18" s="12" t="str">
        <f t="shared" si="1"/>
        <v/>
      </c>
      <c r="AE18" s="12" t="str">
        <f t="shared" si="2"/>
        <v/>
      </c>
      <c r="AH18" s="12" t="str">
        <f t="shared" si="3"/>
        <v/>
      </c>
      <c r="AI18" s="12" t="str">
        <f t="shared" si="4"/>
        <v/>
      </c>
      <c r="AJ18" s="12" t="str">
        <f t="shared" si="5"/>
        <v/>
      </c>
    </row>
    <row r="19" spans="1:36" x14ac:dyDescent="0.25">
      <c r="A19" s="17">
        <f t="shared" si="6"/>
        <v>11</v>
      </c>
      <c r="B19" s="8" t="s">
        <v>37</v>
      </c>
      <c r="C19" s="4" t="s">
        <v>24</v>
      </c>
      <c r="D19" s="5" t="s">
        <v>0</v>
      </c>
      <c r="E19" s="5"/>
      <c r="F19" s="5" t="s">
        <v>1</v>
      </c>
      <c r="G19" s="5" t="s">
        <v>1</v>
      </c>
      <c r="H19" s="17" t="str">
        <f t="shared" si="9"/>
        <v>""</v>
      </c>
      <c r="I19" s="5" t="s">
        <v>46</v>
      </c>
      <c r="J19" s="5" t="s">
        <v>46</v>
      </c>
      <c r="K19" s="5" t="s">
        <v>46</v>
      </c>
      <c r="L19" s="5" t="s">
        <v>46</v>
      </c>
      <c r="M19" s="5" t="s">
        <v>22</v>
      </c>
      <c r="N19" s="8">
        <f t="shared" si="10"/>
        <v>8</v>
      </c>
      <c r="O19" s="5">
        <v>0</v>
      </c>
      <c r="P19" s="5">
        <v>0</v>
      </c>
      <c r="Q19" s="5" t="s">
        <v>23</v>
      </c>
      <c r="R19" s="5" t="s">
        <v>23</v>
      </c>
      <c r="S19" s="5" t="s">
        <v>23</v>
      </c>
      <c r="T19" s="5" t="s">
        <v>46</v>
      </c>
      <c r="U19" s="5" t="s">
        <v>46</v>
      </c>
      <c r="V19" s="5" t="s">
        <v>46</v>
      </c>
      <c r="W19" s="5">
        <v>0</v>
      </c>
      <c r="X19" s="5" t="s">
        <v>77</v>
      </c>
      <c r="Y19" s="10"/>
      <c r="Z19" s="10"/>
      <c r="AB19" s="2" t="str">
        <f t="shared" si="8"/>
        <v>/*11*/{" ","","","","",false,false,false,false,10.0,8,0,0,0.0,0.0,0.0,false,false,false,0},//</v>
      </c>
      <c r="AD19" s="12" t="str">
        <f t="shared" si="1"/>
        <v/>
      </c>
      <c r="AE19" s="12" t="str">
        <f t="shared" si="2"/>
        <v/>
      </c>
      <c r="AH19" s="12" t="str">
        <f t="shared" si="3"/>
        <v/>
      </c>
      <c r="AI19" s="12" t="str">
        <f t="shared" si="4"/>
        <v/>
      </c>
      <c r="AJ19" s="12" t="str">
        <f t="shared" si="5"/>
        <v/>
      </c>
    </row>
    <row r="20" spans="1:36" x14ac:dyDescent="0.25">
      <c r="A20" s="17">
        <f t="shared" si="6"/>
        <v>12</v>
      </c>
      <c r="B20" s="8" t="s">
        <v>38</v>
      </c>
      <c r="C20" s="4" t="s">
        <v>24</v>
      </c>
      <c r="D20" s="5" t="s">
        <v>0</v>
      </c>
      <c r="E20" s="5"/>
      <c r="F20" s="5" t="s">
        <v>1</v>
      </c>
      <c r="G20" s="5" t="s">
        <v>1</v>
      </c>
      <c r="H20" s="17" t="str">
        <f t="shared" si="9"/>
        <v>""</v>
      </c>
      <c r="I20" s="5" t="s">
        <v>46</v>
      </c>
      <c r="J20" s="5" t="s">
        <v>46</v>
      </c>
      <c r="K20" s="5" t="s">
        <v>46</v>
      </c>
      <c r="L20" s="5" t="s">
        <v>46</v>
      </c>
      <c r="M20" s="5" t="s">
        <v>22</v>
      </c>
      <c r="N20" s="8">
        <f t="shared" si="10"/>
        <v>8</v>
      </c>
      <c r="O20" s="5">
        <v>0</v>
      </c>
      <c r="P20" s="5">
        <v>0</v>
      </c>
      <c r="Q20" s="5" t="s">
        <v>23</v>
      </c>
      <c r="R20" s="5" t="s">
        <v>23</v>
      </c>
      <c r="S20" s="5" t="s">
        <v>23</v>
      </c>
      <c r="T20" s="5" t="s">
        <v>46</v>
      </c>
      <c r="U20" s="5" t="s">
        <v>46</v>
      </c>
      <c r="V20" s="5" t="s">
        <v>46</v>
      </c>
      <c r="W20" s="5">
        <v>0</v>
      </c>
      <c r="X20" s="5" t="s">
        <v>77</v>
      </c>
      <c r="Y20" s="10"/>
      <c r="Z20" s="10"/>
      <c r="AB20" s="2" t="str">
        <f t="shared" si="8"/>
        <v>/*12*/{" ","","","","",false,false,false,false,10.0,8,0,0,0.0,0.0,0.0,false,false,false,0},//</v>
      </c>
      <c r="AD20" s="12" t="str">
        <f t="shared" si="1"/>
        <v/>
      </c>
      <c r="AE20" s="12" t="str">
        <f t="shared" si="2"/>
        <v/>
      </c>
      <c r="AH20" s="12" t="str">
        <f t="shared" si="3"/>
        <v/>
      </c>
      <c r="AI20" s="12" t="str">
        <f t="shared" si="4"/>
        <v/>
      </c>
      <c r="AJ20" s="12" t="str">
        <f t="shared" si="5"/>
        <v/>
      </c>
    </row>
    <row r="21" spans="1:36" x14ac:dyDescent="0.25">
      <c r="A21" s="17">
        <f t="shared" si="6"/>
        <v>13</v>
      </c>
      <c r="B21" s="8" t="s">
        <v>39</v>
      </c>
      <c r="C21" s="4" t="s">
        <v>24</v>
      </c>
      <c r="D21" s="5" t="s">
        <v>0</v>
      </c>
      <c r="E21" s="5"/>
      <c r="F21" s="5" t="s">
        <v>1</v>
      </c>
      <c r="G21" s="5" t="s">
        <v>1</v>
      </c>
      <c r="H21" s="17" t="str">
        <f t="shared" si="9"/>
        <v>""</v>
      </c>
      <c r="I21" s="5" t="s">
        <v>46</v>
      </c>
      <c r="J21" s="5" t="s">
        <v>46</v>
      </c>
      <c r="K21" s="5" t="s">
        <v>46</v>
      </c>
      <c r="L21" s="5" t="s">
        <v>46</v>
      </c>
      <c r="M21" s="5" t="s">
        <v>22</v>
      </c>
      <c r="N21" s="8">
        <f t="shared" si="10"/>
        <v>8</v>
      </c>
      <c r="O21" s="5">
        <v>0</v>
      </c>
      <c r="P21" s="5">
        <v>0</v>
      </c>
      <c r="Q21" s="5" t="s">
        <v>23</v>
      </c>
      <c r="R21" s="5" t="s">
        <v>23</v>
      </c>
      <c r="S21" s="5" t="s">
        <v>23</v>
      </c>
      <c r="T21" s="5" t="s">
        <v>46</v>
      </c>
      <c r="U21" s="5" t="s">
        <v>46</v>
      </c>
      <c r="V21" s="5" t="s">
        <v>46</v>
      </c>
      <c r="W21" s="5">
        <v>0</v>
      </c>
      <c r="X21" s="5" t="s">
        <v>77</v>
      </c>
      <c r="Y21" s="10"/>
      <c r="Z21" s="10"/>
      <c r="AB21" s="2" t="str">
        <f t="shared" si="8"/>
        <v>/*13*/{" ","","","","",false,false,false,false,10.0,8,0,0,0.0,0.0,0.0,false,false,false,0},//</v>
      </c>
      <c r="AD21" s="12" t="str">
        <f t="shared" si="1"/>
        <v/>
      </c>
      <c r="AE21" s="12" t="str">
        <f t="shared" si="2"/>
        <v/>
      </c>
      <c r="AH21" s="12" t="str">
        <f t="shared" si="3"/>
        <v/>
      </c>
      <c r="AI21" s="12" t="str">
        <f t="shared" si="4"/>
        <v/>
      </c>
      <c r="AJ21" s="12" t="str">
        <f t="shared" si="5"/>
        <v/>
      </c>
    </row>
    <row r="22" spans="1:36" x14ac:dyDescent="0.25">
      <c r="A22" s="17">
        <f t="shared" si="6"/>
        <v>14</v>
      </c>
      <c r="B22" s="8" t="s">
        <v>40</v>
      </c>
      <c r="C22" s="4" t="s">
        <v>24</v>
      </c>
      <c r="D22" s="5" t="s">
        <v>0</v>
      </c>
      <c r="E22" s="5"/>
      <c r="F22" s="5" t="s">
        <v>1</v>
      </c>
      <c r="G22" s="5" t="s">
        <v>1</v>
      </c>
      <c r="H22" s="17" t="str">
        <f t="shared" si="9"/>
        <v>""</v>
      </c>
      <c r="I22" s="5" t="s">
        <v>46</v>
      </c>
      <c r="J22" s="5" t="s">
        <v>46</v>
      </c>
      <c r="K22" s="5" t="s">
        <v>46</v>
      </c>
      <c r="L22" s="5" t="s">
        <v>46</v>
      </c>
      <c r="M22" s="5" t="s">
        <v>22</v>
      </c>
      <c r="N22" s="8">
        <f t="shared" si="10"/>
        <v>8</v>
      </c>
      <c r="O22" s="5">
        <v>0</v>
      </c>
      <c r="P22" s="5">
        <v>0</v>
      </c>
      <c r="Q22" s="5" t="s">
        <v>23</v>
      </c>
      <c r="R22" s="5" t="s">
        <v>23</v>
      </c>
      <c r="S22" s="5" t="s">
        <v>23</v>
      </c>
      <c r="T22" s="5" t="s">
        <v>46</v>
      </c>
      <c r="U22" s="5" t="s">
        <v>46</v>
      </c>
      <c r="V22" s="5" t="s">
        <v>46</v>
      </c>
      <c r="W22" s="5">
        <v>0</v>
      </c>
      <c r="X22" s="5" t="s">
        <v>77</v>
      </c>
      <c r="Y22" s="10"/>
      <c r="Z22" s="10"/>
      <c r="AB22" s="2" t="str">
        <f t="shared" si="8"/>
        <v>/*14*/{" ","","","","",false,false,false,false,10.0,8,0,0,0.0,0.0,0.0,false,false,false,0},//</v>
      </c>
      <c r="AD22" s="12" t="str">
        <f t="shared" si="1"/>
        <v/>
      </c>
      <c r="AE22" s="12" t="str">
        <f t="shared" si="2"/>
        <v/>
      </c>
      <c r="AH22" s="12" t="str">
        <f t="shared" si="3"/>
        <v/>
      </c>
      <c r="AI22" s="12" t="str">
        <f t="shared" si="4"/>
        <v/>
      </c>
      <c r="AJ22" s="12" t="str">
        <f t="shared" si="5"/>
        <v/>
      </c>
    </row>
    <row r="23" spans="1:36" x14ac:dyDescent="0.25">
      <c r="A23" s="17">
        <f t="shared" si="6"/>
        <v>15</v>
      </c>
      <c r="B23" s="8" t="s">
        <v>41</v>
      </c>
      <c r="C23" s="4" t="s">
        <v>24</v>
      </c>
      <c r="D23" s="5" t="s">
        <v>0</v>
      </c>
      <c r="E23" s="5"/>
      <c r="F23" s="5" t="s">
        <v>1</v>
      </c>
      <c r="G23" s="5" t="s">
        <v>1</v>
      </c>
      <c r="H23" s="17" t="str">
        <f t="shared" si="9"/>
        <v>""</v>
      </c>
      <c r="I23" s="5" t="s">
        <v>46</v>
      </c>
      <c r="J23" s="5" t="s">
        <v>46</v>
      </c>
      <c r="K23" s="5" t="s">
        <v>46</v>
      </c>
      <c r="L23" s="5" t="s">
        <v>46</v>
      </c>
      <c r="M23" s="5" t="s">
        <v>22</v>
      </c>
      <c r="N23" s="8">
        <f t="shared" si="10"/>
        <v>8</v>
      </c>
      <c r="O23" s="5">
        <v>0</v>
      </c>
      <c r="P23" s="5">
        <v>0</v>
      </c>
      <c r="Q23" s="5" t="s">
        <v>23</v>
      </c>
      <c r="R23" s="5" t="s">
        <v>23</v>
      </c>
      <c r="S23" s="5" t="s">
        <v>23</v>
      </c>
      <c r="T23" s="5" t="s">
        <v>46</v>
      </c>
      <c r="U23" s="5" t="s">
        <v>46</v>
      </c>
      <c r="V23" s="5" t="s">
        <v>46</v>
      </c>
      <c r="W23" s="5">
        <v>0</v>
      </c>
      <c r="X23" s="5" t="s">
        <v>77</v>
      </c>
      <c r="Y23" s="10"/>
      <c r="Z23" s="10"/>
      <c r="AB23" s="2" t="str">
        <f t="shared" si="8"/>
        <v>/*15*/{" ","","","","",false,false,false,false,10.0,8,0,0,0.0,0.0,0.0,false,false,false,0},//</v>
      </c>
      <c r="AD23" s="12" t="str">
        <f t="shared" si="1"/>
        <v/>
      </c>
      <c r="AE23" s="12" t="str">
        <f t="shared" si="2"/>
        <v/>
      </c>
      <c r="AH23" s="12" t="str">
        <f t="shared" si="3"/>
        <v/>
      </c>
      <c r="AI23" s="12" t="str">
        <f t="shared" si="4"/>
        <v/>
      </c>
      <c r="AJ23" s="12" t="str">
        <f t="shared" si="5"/>
        <v/>
      </c>
    </row>
    <row r="24" spans="1:36" x14ac:dyDescent="0.25">
      <c r="A24" s="17">
        <f t="shared" si="6"/>
        <v>16</v>
      </c>
      <c r="B24" s="8" t="s">
        <v>42</v>
      </c>
      <c r="C24" s="4" t="s">
        <v>24</v>
      </c>
      <c r="D24" s="5" t="s">
        <v>0</v>
      </c>
      <c r="E24" s="5"/>
      <c r="F24" s="5" t="s">
        <v>1</v>
      </c>
      <c r="G24" s="5" t="s">
        <v>1</v>
      </c>
      <c r="H24" s="17" t="str">
        <f t="shared" si="9"/>
        <v>""</v>
      </c>
      <c r="I24" s="5" t="s">
        <v>46</v>
      </c>
      <c r="J24" s="5" t="s">
        <v>46</v>
      </c>
      <c r="K24" s="5" t="s">
        <v>46</v>
      </c>
      <c r="L24" s="5" t="s">
        <v>46</v>
      </c>
      <c r="M24" s="5" t="s">
        <v>22</v>
      </c>
      <c r="N24" s="8">
        <f t="shared" si="10"/>
        <v>8</v>
      </c>
      <c r="O24" s="5">
        <v>0</v>
      </c>
      <c r="P24" s="5">
        <v>0</v>
      </c>
      <c r="Q24" s="5" t="s">
        <v>23</v>
      </c>
      <c r="R24" s="5" t="s">
        <v>23</v>
      </c>
      <c r="S24" s="5" t="s">
        <v>23</v>
      </c>
      <c r="T24" s="5" t="s">
        <v>46</v>
      </c>
      <c r="U24" s="5" t="s">
        <v>46</v>
      </c>
      <c r="V24" s="5" t="s">
        <v>46</v>
      </c>
      <c r="W24" s="5">
        <v>0</v>
      </c>
      <c r="X24" s="5" t="s">
        <v>77</v>
      </c>
      <c r="Y24" s="10"/>
      <c r="Z24" s="10"/>
      <c r="AB24" s="2" t="str">
        <f t="shared" si="8"/>
        <v>/*16*/{" ","","","","",false,false,false,false,10.0,8,0,0,0.0,0.0,0.0,false,false,false,0},//</v>
      </c>
      <c r="AD24" s="12" t="str">
        <f t="shared" si="1"/>
        <v/>
      </c>
      <c r="AE24" s="12" t="str">
        <f t="shared" si="2"/>
        <v/>
      </c>
      <c r="AH24" s="12" t="str">
        <f t="shared" si="3"/>
        <v/>
      </c>
      <c r="AI24" s="12" t="str">
        <f t="shared" si="4"/>
        <v/>
      </c>
      <c r="AJ24" s="12" t="str">
        <f t="shared" si="5"/>
        <v/>
      </c>
    </row>
    <row r="25" spans="1:36" x14ac:dyDescent="0.25">
      <c r="A25" s="17">
        <f t="shared" si="6"/>
        <v>17</v>
      </c>
      <c r="B25" s="8" t="s">
        <v>43</v>
      </c>
      <c r="C25" s="4" t="s">
        <v>24</v>
      </c>
      <c r="D25" s="5" t="s">
        <v>0</v>
      </c>
      <c r="E25" s="5"/>
      <c r="F25" s="5" t="s">
        <v>1</v>
      </c>
      <c r="G25" s="5" t="s">
        <v>1</v>
      </c>
      <c r="H25" s="17" t="str">
        <f t="shared" si="9"/>
        <v>""</v>
      </c>
      <c r="I25" s="5" t="s">
        <v>46</v>
      </c>
      <c r="J25" s="5" t="s">
        <v>46</v>
      </c>
      <c r="K25" s="5" t="s">
        <v>46</v>
      </c>
      <c r="L25" s="5" t="s">
        <v>46</v>
      </c>
      <c r="M25" s="5" t="s">
        <v>22</v>
      </c>
      <c r="N25" s="8">
        <f t="shared" si="10"/>
        <v>8</v>
      </c>
      <c r="O25" s="5">
        <v>0</v>
      </c>
      <c r="P25" s="5">
        <v>0</v>
      </c>
      <c r="Q25" s="5" t="s">
        <v>23</v>
      </c>
      <c r="R25" s="5" t="s">
        <v>23</v>
      </c>
      <c r="S25" s="5" t="s">
        <v>23</v>
      </c>
      <c r="T25" s="5" t="s">
        <v>46</v>
      </c>
      <c r="U25" s="5" t="s">
        <v>46</v>
      </c>
      <c r="V25" s="5" t="s">
        <v>46</v>
      </c>
      <c r="W25" s="5">
        <v>0</v>
      </c>
      <c r="X25" s="5" t="s">
        <v>77</v>
      </c>
      <c r="Y25" s="10"/>
      <c r="Z25" s="10"/>
      <c r="AB25" s="2" t="str">
        <f t="shared" si="8"/>
        <v>/*17*/{" ","","","","",false,false,false,false,10.0,8,0,0,0.0,0.0,0.0,false,false,false,0},//</v>
      </c>
      <c r="AD25" s="12" t="str">
        <f t="shared" si="1"/>
        <v/>
      </c>
      <c r="AE25" s="12" t="str">
        <f t="shared" si="2"/>
        <v/>
      </c>
      <c r="AH25" s="12" t="str">
        <f t="shared" si="3"/>
        <v/>
      </c>
      <c r="AI25" s="12" t="str">
        <f t="shared" si="4"/>
        <v/>
      </c>
      <c r="AJ25" s="12" t="str">
        <f t="shared" si="5"/>
        <v/>
      </c>
    </row>
    <row r="26" spans="1:36" x14ac:dyDescent="0.25">
      <c r="A26" s="17">
        <f t="shared" si="6"/>
        <v>18</v>
      </c>
      <c r="B26" s="8" t="s">
        <v>44</v>
      </c>
      <c r="C26" s="4" t="s">
        <v>24</v>
      </c>
      <c r="D26" s="5" t="s">
        <v>0</v>
      </c>
      <c r="E26" s="5"/>
      <c r="F26" s="5" t="s">
        <v>1</v>
      </c>
      <c r="G26" s="5" t="s">
        <v>1</v>
      </c>
      <c r="H26" s="17" t="str">
        <f t="shared" si="9"/>
        <v>""</v>
      </c>
      <c r="I26" s="5" t="s">
        <v>46</v>
      </c>
      <c r="J26" s="5" t="s">
        <v>46</v>
      </c>
      <c r="K26" s="5" t="s">
        <v>46</v>
      </c>
      <c r="L26" s="5" t="s">
        <v>46</v>
      </c>
      <c r="M26" s="5" t="s">
        <v>22</v>
      </c>
      <c r="N26" s="8">
        <f t="shared" si="10"/>
        <v>8</v>
      </c>
      <c r="O26" s="5">
        <v>0</v>
      </c>
      <c r="P26" s="5">
        <v>0</v>
      </c>
      <c r="Q26" s="5" t="s">
        <v>23</v>
      </c>
      <c r="R26" s="5" t="s">
        <v>23</v>
      </c>
      <c r="S26" s="5" t="s">
        <v>23</v>
      </c>
      <c r="T26" s="5" t="s">
        <v>46</v>
      </c>
      <c r="U26" s="5" t="s">
        <v>46</v>
      </c>
      <c r="V26" s="5" t="s">
        <v>46</v>
      </c>
      <c r="W26" s="5">
        <v>0</v>
      </c>
      <c r="X26" s="5" t="s">
        <v>77</v>
      </c>
      <c r="Y26" s="10"/>
      <c r="Z26" s="10"/>
      <c r="AB26" s="2" t="str">
        <f t="shared" si="8"/>
        <v>/*18*/{" ","","","","",false,false,false,false,10.0,8,0,0,0.0,0.0,0.0,false,false,false,0},//</v>
      </c>
      <c r="AD26" s="12" t="str">
        <f t="shared" si="1"/>
        <v/>
      </c>
      <c r="AE26" s="12" t="str">
        <f t="shared" si="2"/>
        <v/>
      </c>
      <c r="AH26" s="12" t="str">
        <f t="shared" si="3"/>
        <v/>
      </c>
      <c r="AI26" s="12" t="str">
        <f t="shared" si="4"/>
        <v/>
      </c>
      <c r="AJ26" s="12" t="str">
        <f t="shared" si="5"/>
        <v/>
      </c>
    </row>
    <row r="27" spans="1:36" x14ac:dyDescent="0.25">
      <c r="A27" s="17">
        <f t="shared" si="6"/>
        <v>19</v>
      </c>
      <c r="B27" s="8" t="s">
        <v>45</v>
      </c>
      <c r="C27" s="4" t="s">
        <v>24</v>
      </c>
      <c r="D27" s="5" t="s">
        <v>0</v>
      </c>
      <c r="E27" s="5"/>
      <c r="F27" s="5" t="s">
        <v>1</v>
      </c>
      <c r="G27" s="5" t="s">
        <v>1</v>
      </c>
      <c r="H27" s="17" t="str">
        <f t="shared" si="9"/>
        <v>""</v>
      </c>
      <c r="I27" s="5" t="s">
        <v>46</v>
      </c>
      <c r="J27" s="5" t="s">
        <v>46</v>
      </c>
      <c r="K27" s="5" t="s">
        <v>46</v>
      </c>
      <c r="L27" s="5" t="s">
        <v>46</v>
      </c>
      <c r="M27" s="5" t="s">
        <v>22</v>
      </c>
      <c r="N27" s="8">
        <f t="shared" si="10"/>
        <v>8</v>
      </c>
      <c r="O27" s="5">
        <v>0</v>
      </c>
      <c r="P27" s="5">
        <v>0</v>
      </c>
      <c r="Q27" s="5" t="s">
        <v>23</v>
      </c>
      <c r="R27" s="5" t="s">
        <v>23</v>
      </c>
      <c r="S27" s="5" t="s">
        <v>23</v>
      </c>
      <c r="T27" s="5" t="s">
        <v>46</v>
      </c>
      <c r="U27" s="5" t="s">
        <v>46</v>
      </c>
      <c r="V27" s="5" t="s">
        <v>46</v>
      </c>
      <c r="W27" s="5">
        <v>0</v>
      </c>
      <c r="X27" s="5" t="s">
        <v>77</v>
      </c>
      <c r="Y27" s="10"/>
      <c r="Z27" s="10"/>
      <c r="AB27" s="2" t="str">
        <f>CONCATENATE(B27,C27,D27,",""",E27,""",",F27,",",G27,",",H27,",",I27,",",J27,",",K27,",",L27,",",M27,",",N27,",",O27,",",P27,",",Q27,",",R27,",",S27,",",T27,",",U27,",",V27,",",W27,"}//",Y27)</f>
        <v>/*19*/{" ","","","","",false,false,false,false,10.0,8,0,0,0.0,0.0,0.0,false,false,false,0}//</v>
      </c>
      <c r="AD27" s="12" t="str">
        <f>IF(X27="Да",CONCATENATE("float &amp;",SUBSTITUTE(Z27," ","")," = Screens[",$A$5,"][",A27,"].Param;// Ссылка. ",$Y$32,". ",Y27),"")</f>
        <v/>
      </c>
      <c r="AE27" s="12" t="str">
        <f t="shared" si="2"/>
        <v/>
      </c>
      <c r="AH27" s="12" t="str">
        <f>IF(X27="Да",CONCATENATE("Ref.",,SUBSTITUTE(Z27," ","")," = ",$AI$1,$B$5,SUBSTITUTE(E27," ",""),";//",$Y$32,". ",Y27),"")</f>
        <v/>
      </c>
      <c r="AI27" s="12" t="str">
        <f t="shared" si="4"/>
        <v/>
      </c>
      <c r="AJ27" s="12" t="str">
        <f t="shared" ref="AJ27" si="11">IF(X27="Да",CONCATENATE($AI$1,SUBSTITUTE(Z27," ","")," = ",M27,";//",$Y$32,". ",Y27),"")</f>
        <v/>
      </c>
    </row>
    <row r="28" spans="1:36" x14ac:dyDescent="0.25">
      <c r="AB28" s="3" t="s">
        <v>25</v>
      </c>
    </row>
    <row r="29" spans="1:36" x14ac:dyDescent="0.25">
      <c r="A29" s="14">
        <f>A5+1</f>
        <v>1</v>
      </c>
      <c r="B29" s="10" t="s">
        <v>135</v>
      </c>
      <c r="D29" s="7" t="s">
        <v>55</v>
      </c>
      <c r="AB29" s="3" t="s">
        <v>51</v>
      </c>
    </row>
    <row r="30" spans="1:36" ht="45" x14ac:dyDescent="0.25">
      <c r="A30" s="15" t="s">
        <v>78</v>
      </c>
      <c r="B30" s="18"/>
      <c r="C30" s="6" t="s">
        <v>25</v>
      </c>
      <c r="D30" s="6" t="s">
        <v>17</v>
      </c>
      <c r="E30" s="6" t="s">
        <v>18</v>
      </c>
      <c r="F30" s="6" t="s">
        <v>19</v>
      </c>
      <c r="G30" s="6" t="s">
        <v>20</v>
      </c>
      <c r="H30" s="6" t="s">
        <v>21</v>
      </c>
      <c r="I30" s="6" t="s">
        <v>2</v>
      </c>
      <c r="J30" s="6" t="s">
        <v>3</v>
      </c>
      <c r="K30" s="6" t="s">
        <v>4</v>
      </c>
      <c r="L30" s="6" t="s">
        <v>5</v>
      </c>
      <c r="M30" s="6" t="s">
        <v>6</v>
      </c>
      <c r="N30" s="6" t="s">
        <v>7</v>
      </c>
      <c r="O30" s="6" t="s">
        <v>8</v>
      </c>
      <c r="P30" s="6" t="s">
        <v>9</v>
      </c>
      <c r="Q30" s="6" t="s">
        <v>10</v>
      </c>
      <c r="R30" s="6" t="s">
        <v>11</v>
      </c>
      <c r="S30" s="6" t="s">
        <v>12</v>
      </c>
      <c r="T30" s="6" t="s">
        <v>13</v>
      </c>
      <c r="U30" s="6" t="s">
        <v>14</v>
      </c>
      <c r="V30" s="6" t="s">
        <v>15</v>
      </c>
      <c r="W30" s="6" t="s">
        <v>16</v>
      </c>
      <c r="X30" s="6" t="s">
        <v>76</v>
      </c>
      <c r="Y30" s="6" t="s">
        <v>80</v>
      </c>
      <c r="Z30" s="6" t="s">
        <v>97</v>
      </c>
      <c r="AA30" s="1"/>
      <c r="AB30" s="2" t="str">
        <f>CONCATENATE(D29," - ",E32)</f>
        <v>//Экран 1 - Тек. Напр.</v>
      </c>
      <c r="AD30" s="2" t="s">
        <v>81</v>
      </c>
      <c r="AE30" s="2" t="s">
        <v>82</v>
      </c>
      <c r="AH30" s="19" t="s">
        <v>83</v>
      </c>
      <c r="AI30" s="19" t="s">
        <v>84</v>
      </c>
      <c r="AJ30" s="19" t="s">
        <v>85</v>
      </c>
    </row>
    <row r="31" spans="1:36" x14ac:dyDescent="0.25">
      <c r="A31" s="16"/>
      <c r="B31" s="13"/>
      <c r="C31" s="4" t="s">
        <v>24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1"/>
      <c r="Y31" s="11"/>
      <c r="Z31" s="11"/>
      <c r="AA31" s="1"/>
      <c r="AB31" s="3" t="str">
        <f>C31</f>
        <v>{</v>
      </c>
    </row>
    <row r="32" spans="1:36" x14ac:dyDescent="0.25">
      <c r="A32" s="17">
        <v>0</v>
      </c>
      <c r="B32" s="8" t="s">
        <v>27</v>
      </c>
      <c r="C32" s="4" t="s">
        <v>24</v>
      </c>
      <c r="D32" s="5" t="s">
        <v>0</v>
      </c>
      <c r="E32" s="5" t="s">
        <v>107</v>
      </c>
      <c r="F32" s="5" t="s">
        <v>1</v>
      </c>
      <c r="G32" s="5" t="s">
        <v>108</v>
      </c>
      <c r="H32" s="17" t="str">
        <f t="shared" ref="H32:H34" si="12">IF(AND(I32="true",J32="false"),""" ""","""""")</f>
        <v>""</v>
      </c>
      <c r="I32" s="5" t="s">
        <v>47</v>
      </c>
      <c r="J32" s="5" t="s">
        <v>47</v>
      </c>
      <c r="K32" s="5" t="s">
        <v>47</v>
      </c>
      <c r="L32" s="5" t="s">
        <v>47</v>
      </c>
      <c r="M32" s="5" t="s">
        <v>23</v>
      </c>
      <c r="N32" s="8">
        <v>3</v>
      </c>
      <c r="O32" s="5">
        <v>0</v>
      </c>
      <c r="P32" s="5" t="s">
        <v>87</v>
      </c>
      <c r="Q32" s="5" t="s">
        <v>89</v>
      </c>
      <c r="R32" s="5" t="s">
        <v>91</v>
      </c>
      <c r="S32" s="5" t="s">
        <v>90</v>
      </c>
      <c r="T32" s="5" t="s">
        <v>46</v>
      </c>
      <c r="U32" s="5" t="s">
        <v>46</v>
      </c>
      <c r="V32" s="5" t="s">
        <v>46</v>
      </c>
      <c r="W32" s="5">
        <v>0</v>
      </c>
      <c r="X32" s="10" t="s">
        <v>77</v>
      </c>
      <c r="Y32" s="5" t="s">
        <v>118</v>
      </c>
      <c r="Z32" s="10"/>
      <c r="AB32" s="2" t="str">
        <f>CONCATENATE(B32,C32,D32,",""",E32,""",",F32,",",G32,",",H32,",",I32,",",J32,",",K32,",",L32,",",M32,",",N32,",",O32,",",P32,",",Q32,",",R32,",",S32,",",T32,",",U32,",",V32,",",W32,"},//",Y32)</f>
        <v>/*0*/{" ","Тек. Напр.",""," В","",true,true,true,true,0.0,3,0,1,150.0,-50.0,1.0,false,false,false,0},//Текущее напряжение, В</v>
      </c>
      <c r="AD32" s="12" t="str">
        <f t="shared" ref="AD32:AD50" si="13">IF(X32="Да",IF(T32="false",CONCATENATE("float &amp;",SUBSTITUTE(Z32," ","")," = Screens[",$A$29,"][",A32,"].Param;// Ссылка. ",$Y$32,". ",Y32),CONCATENATE("bool &amp;",SUBSTITUTE(Z32," ","")," = Screens[",$A$29,"][",A32,"].BoolParam;// Ссылка. ",$Y$32,". ",Y32)),"")</f>
        <v/>
      </c>
      <c r="AE32" s="12" t="str">
        <f>IF(X32="Да",IF(T32="false",CONCATENATE("float ",SUBSTITUTE(Z32," ",""),"; //",$Y$32,". ",Y32),CONCATENATE("bool ",SUBSTITUTE(Z32," ",""),"; //",$Y$32,". ",Y32)),"")</f>
        <v/>
      </c>
      <c r="AH32" s="12" t="str">
        <f t="shared" ref="AH32:AH50" si="14">IF(X32="Да",CONCATENATE("Ref.",,SUBSTITUTE(Z32," ","")," = ",$AI$1,SUBSTITUTE(Z32," ",""),";//",$Y$32,". ",Y32),"")</f>
        <v/>
      </c>
      <c r="AI32" s="12" t="str">
        <f t="shared" ref="AI32:AI51" si="15">IF(X32="Да",CONCATENATE($AI$1,SUBSTITUTE(Z32," ","")," = Ref.",SUBSTITUTE(Z32," ",""),";//",$Y$32,". ",Y32),"")</f>
        <v/>
      </c>
      <c r="AJ32" s="12" t="str">
        <f t="shared" ref="AJ32:AJ50" si="16">IF(X32="Да",IF(T32="false",CONCATENATE($AI$1,SUBSTITUTE(Z32," ","")," = ",M32,";//",$Y$32,". ",Y32),CONCATENATE($AI$1,SUBSTITUTE(Z32," ","")," = ",U32,";//",$Y$32,". ",Y32)),"")</f>
        <v/>
      </c>
    </row>
    <row r="33" spans="1:36" x14ac:dyDescent="0.25">
      <c r="A33" s="17">
        <f>A32+1</f>
        <v>1</v>
      </c>
      <c r="B33" s="8" t="s">
        <v>26</v>
      </c>
      <c r="C33" s="4" t="s">
        <v>24</v>
      </c>
      <c r="D33" s="5" t="s">
        <v>0</v>
      </c>
      <c r="E33" s="8" t="s">
        <v>128</v>
      </c>
      <c r="F33" s="5" t="s">
        <v>1</v>
      </c>
      <c r="G33" s="5" t="s">
        <v>108</v>
      </c>
      <c r="H33" s="17" t="str">
        <f t="shared" si="12"/>
        <v>" "</v>
      </c>
      <c r="I33" s="5" t="s">
        <v>47</v>
      </c>
      <c r="J33" s="5" t="s">
        <v>46</v>
      </c>
      <c r="K33" s="5" t="s">
        <v>47</v>
      </c>
      <c r="L33" s="5" t="s">
        <v>46</v>
      </c>
      <c r="M33" s="5" t="s">
        <v>117</v>
      </c>
      <c r="N33" s="8">
        <f t="shared" ref="N33:N34" si="17">N32</f>
        <v>3</v>
      </c>
      <c r="O33" s="5">
        <v>0</v>
      </c>
      <c r="P33" s="5">
        <v>0</v>
      </c>
      <c r="Q33" s="5" t="s">
        <v>117</v>
      </c>
      <c r="R33" s="5" t="s">
        <v>23</v>
      </c>
      <c r="S33" s="5" t="s">
        <v>90</v>
      </c>
      <c r="T33" s="5" t="s">
        <v>46</v>
      </c>
      <c r="U33" s="5" t="s">
        <v>46</v>
      </c>
      <c r="V33" s="5" t="s">
        <v>46</v>
      </c>
      <c r="W33" s="5">
        <v>0</v>
      </c>
      <c r="X33" s="10" t="s">
        <v>96</v>
      </c>
      <c r="Y33" s="8" t="s">
        <v>132</v>
      </c>
      <c r="Z33" s="20" t="s">
        <v>130</v>
      </c>
      <c r="AB33" s="2" t="str">
        <f>CONCATENATE(B33,C33,D33,",""",E33,""",",F33,",",G33,",",H33,",",I33,",",J33,",",K33,",",L33,",",M33,",",N33,",",O33,",",P33,",",Q33,",",R33,",",S33,",",T33,",",U33,",",V33,",",W33,"},//",Y$32,". ",Y33)</f>
        <v>/*1*/{" ","Макс. Напр.",""," В"," ",true,false,true,false,400.0,3,0,0,400.0,0.0,1.0,false,false,false,0},//Текущее напряжение, В. Технический максимум напряжения, В</v>
      </c>
      <c r="AD33" s="12" t="str">
        <f t="shared" si="13"/>
        <v>float &amp;TechMaxVoltage = Screens[1][1].Param;// Ссылка. Текущее напряжение, В. Технический максимум напряжения, В</v>
      </c>
      <c r="AE33" s="12" t="str">
        <f>IF(X33="Да",IF(T33="false",CONCATENATE("float ",SUBSTITUTE(Z33," ",""),"; //",$Y$32,". ",Y33),CONCATENATE("bool ",SUBSTITUTE(Z33," ",""),"; //",$Y$32,". ",Y33)),"")</f>
        <v>float TechMaxVoltage; //Текущее напряжение, В. Технический максимум напряжения, В</v>
      </c>
      <c r="AH33" s="12" t="str">
        <f t="shared" si="14"/>
        <v>Ref.TechMaxVoltage = FlashMemory.TechMaxVoltage;//Текущее напряжение, В. Технический максимум напряжения, В</v>
      </c>
      <c r="AI33" s="12" t="str">
        <f t="shared" si="15"/>
        <v>FlashMemory.TechMaxVoltage = Ref.TechMaxVoltage;//Текущее напряжение, В. Технический максимум напряжения, В</v>
      </c>
      <c r="AJ33" s="12" t="str">
        <f t="shared" si="16"/>
        <v>FlashMemory.TechMaxVoltage = 400.0;//Текущее напряжение, В. Технический максимум напряжения, В</v>
      </c>
    </row>
    <row r="34" spans="1:36" x14ac:dyDescent="0.25">
      <c r="A34" s="17">
        <f t="shared" ref="A34:A51" si="18">A33+1</f>
        <v>2</v>
      </c>
      <c r="B34" s="8" t="s">
        <v>28</v>
      </c>
      <c r="C34" s="4" t="s">
        <v>24</v>
      </c>
      <c r="D34" s="5" t="s">
        <v>0</v>
      </c>
      <c r="E34" s="5" t="s">
        <v>129</v>
      </c>
      <c r="F34" s="5" t="s">
        <v>1</v>
      </c>
      <c r="G34" s="5" t="s">
        <v>108</v>
      </c>
      <c r="H34" s="17" t="str">
        <f t="shared" si="12"/>
        <v>" "</v>
      </c>
      <c r="I34" s="5" t="s">
        <v>47</v>
      </c>
      <c r="J34" s="5" t="s">
        <v>46</v>
      </c>
      <c r="K34" s="5" t="s">
        <v>47</v>
      </c>
      <c r="L34" s="5" t="s">
        <v>46</v>
      </c>
      <c r="M34" s="5" t="s">
        <v>23</v>
      </c>
      <c r="N34" s="8">
        <f t="shared" si="17"/>
        <v>3</v>
      </c>
      <c r="O34" s="5">
        <v>0</v>
      </c>
      <c r="P34" s="5">
        <v>0</v>
      </c>
      <c r="Q34" s="5" t="s">
        <v>117</v>
      </c>
      <c r="R34" s="5" t="s">
        <v>23</v>
      </c>
      <c r="S34" s="5" t="s">
        <v>90</v>
      </c>
      <c r="T34" s="5" t="s">
        <v>46</v>
      </c>
      <c r="U34" s="5" t="s">
        <v>46</v>
      </c>
      <c r="V34" s="5" t="s">
        <v>46</v>
      </c>
      <c r="W34" s="5">
        <v>0</v>
      </c>
      <c r="X34" s="10" t="s">
        <v>96</v>
      </c>
      <c r="Y34" s="5" t="s">
        <v>133</v>
      </c>
      <c r="Z34" s="20" t="s">
        <v>131</v>
      </c>
      <c r="AB34" s="2" t="str">
        <f t="shared" ref="AB34:AB51" si="19">CONCATENATE(B34,C34,D34,",""",E34,""",",F34,",",G34,",",H34,",",I34,",",J34,",",K34,",",L34,",",M34,",",N34,",",O34,",",P34,",",Q34,",",R34,",",S34,",",T34,",",U34,",",V34,",",W34,"},//",Y$32,". ",Y34)</f>
        <v>/*2*/{" ","Мин. Напр.",""," В"," ",true,false,true,false,0.0,3,0,0,400.0,0.0,1.0,false,false,false,0},//Текущее напряжение, В. Технический минимум напряжения, В</v>
      </c>
      <c r="AD34" s="12" t="str">
        <f t="shared" si="13"/>
        <v>float &amp;TechMinVoltage = Screens[1][2].Param;// Ссылка. Текущее напряжение, В. Технический минимум напряжения, В</v>
      </c>
      <c r="AE34" s="12" t="str">
        <f t="shared" ref="AE34:AE51" si="20">IF(X34="Да",IF(T34="false",CONCATENATE("float ",SUBSTITUTE(Z34," ",""),"; //",$Y$32,". ",Y34),CONCATENATE("bool ",SUBSTITUTE(Z34," ",""),"; //",$Y$32,". ",Y34)),"")</f>
        <v>float TechMinVoltage; //Текущее напряжение, В. Технический минимум напряжения, В</v>
      </c>
      <c r="AH34" s="12" t="str">
        <f t="shared" si="14"/>
        <v>Ref.TechMinVoltage = FlashMemory.TechMinVoltage;//Текущее напряжение, В. Технический минимум напряжения, В</v>
      </c>
      <c r="AI34" s="12" t="str">
        <f t="shared" si="15"/>
        <v>FlashMemory.TechMinVoltage = Ref.TechMinVoltage;//Текущее напряжение, В. Технический минимум напряжения, В</v>
      </c>
      <c r="AJ34" s="12" t="str">
        <f t="shared" si="16"/>
        <v>FlashMemory.TechMinVoltage = 0.0;//Текущее напряжение, В. Технический минимум напряжения, В</v>
      </c>
    </row>
    <row r="35" spans="1:36" x14ac:dyDescent="0.25">
      <c r="A35" s="17">
        <f t="shared" si="18"/>
        <v>3</v>
      </c>
      <c r="B35" s="8" t="s">
        <v>29</v>
      </c>
      <c r="C35" s="4" t="s">
        <v>24</v>
      </c>
      <c r="D35" s="5" t="s">
        <v>0</v>
      </c>
      <c r="E35" s="5"/>
      <c r="F35" s="5" t="s">
        <v>1</v>
      </c>
      <c r="G35" s="5" t="s">
        <v>1</v>
      </c>
      <c r="H35" s="17" t="str">
        <f t="shared" ref="H35:H51" si="21">IF(AND(I35="true",J35="false"),""" ""","""""")</f>
        <v>""</v>
      </c>
      <c r="I35" s="5" t="s">
        <v>46</v>
      </c>
      <c r="J35" s="5" t="s">
        <v>46</v>
      </c>
      <c r="K35" s="5" t="s">
        <v>46</v>
      </c>
      <c r="L35" s="5" t="s">
        <v>46</v>
      </c>
      <c r="M35" s="5" t="s">
        <v>22</v>
      </c>
      <c r="N35" s="8">
        <f t="shared" ref="N35:N51" si="22">N34</f>
        <v>3</v>
      </c>
      <c r="O35" s="5">
        <v>0</v>
      </c>
      <c r="P35" s="5">
        <v>0</v>
      </c>
      <c r="Q35" s="5" t="s">
        <v>23</v>
      </c>
      <c r="R35" s="5" t="s">
        <v>23</v>
      </c>
      <c r="S35" s="5" t="s">
        <v>23</v>
      </c>
      <c r="T35" s="5" t="s">
        <v>46</v>
      </c>
      <c r="U35" s="5" t="s">
        <v>46</v>
      </c>
      <c r="V35" s="5" t="s">
        <v>46</v>
      </c>
      <c r="W35" s="5">
        <v>0</v>
      </c>
      <c r="X35" s="10" t="s">
        <v>77</v>
      </c>
      <c r="Y35" s="5"/>
      <c r="Z35" s="10"/>
      <c r="AB35" s="2" t="str">
        <f t="shared" si="19"/>
        <v xml:space="preserve">/*3*/{" ","","","","",false,false,false,false,10.0,3,0,0,0.0,0.0,0.0,false,false,false,0},//Текущее напряжение, В. </v>
      </c>
      <c r="AD35" s="12" t="str">
        <f t="shared" si="13"/>
        <v/>
      </c>
      <c r="AE35" s="12" t="str">
        <f t="shared" si="20"/>
        <v/>
      </c>
      <c r="AH35" s="12" t="str">
        <f t="shared" si="14"/>
        <v/>
      </c>
      <c r="AI35" s="12" t="str">
        <f t="shared" si="15"/>
        <v/>
      </c>
      <c r="AJ35" s="12" t="str">
        <f t="shared" si="16"/>
        <v/>
      </c>
    </row>
    <row r="36" spans="1:36" x14ac:dyDescent="0.25">
      <c r="A36" s="17">
        <f t="shared" si="18"/>
        <v>4</v>
      </c>
      <c r="B36" s="8" t="s">
        <v>30</v>
      </c>
      <c r="C36" s="4" t="s">
        <v>24</v>
      </c>
      <c r="D36" s="5" t="s">
        <v>0</v>
      </c>
      <c r="E36" s="5"/>
      <c r="F36" s="5" t="s">
        <v>1</v>
      </c>
      <c r="G36" s="5" t="s">
        <v>1</v>
      </c>
      <c r="H36" s="17" t="str">
        <f t="shared" si="21"/>
        <v>""</v>
      </c>
      <c r="I36" s="5" t="s">
        <v>46</v>
      </c>
      <c r="J36" s="5" t="s">
        <v>46</v>
      </c>
      <c r="K36" s="5" t="s">
        <v>46</v>
      </c>
      <c r="L36" s="5" t="s">
        <v>46</v>
      </c>
      <c r="M36" s="5" t="s">
        <v>22</v>
      </c>
      <c r="N36" s="8">
        <f t="shared" si="22"/>
        <v>3</v>
      </c>
      <c r="O36" s="5">
        <v>0</v>
      </c>
      <c r="P36" s="5">
        <v>0</v>
      </c>
      <c r="Q36" s="5" t="s">
        <v>23</v>
      </c>
      <c r="R36" s="5" t="s">
        <v>23</v>
      </c>
      <c r="S36" s="5" t="s">
        <v>23</v>
      </c>
      <c r="T36" s="5" t="s">
        <v>46</v>
      </c>
      <c r="U36" s="5" t="s">
        <v>46</v>
      </c>
      <c r="V36" s="5" t="s">
        <v>46</v>
      </c>
      <c r="W36" s="5">
        <v>0</v>
      </c>
      <c r="X36" s="10" t="s">
        <v>77</v>
      </c>
      <c r="Y36" s="5"/>
      <c r="Z36" s="10"/>
      <c r="AB36" s="2" t="str">
        <f t="shared" si="19"/>
        <v xml:space="preserve">/*4*/{" ","","","","",false,false,false,false,10.0,3,0,0,0.0,0.0,0.0,false,false,false,0},//Текущее напряжение, В. </v>
      </c>
      <c r="AD36" s="12" t="str">
        <f t="shared" si="13"/>
        <v/>
      </c>
      <c r="AE36" s="12" t="str">
        <f t="shared" si="20"/>
        <v/>
      </c>
      <c r="AH36" s="12" t="str">
        <f t="shared" si="14"/>
        <v/>
      </c>
      <c r="AI36" s="12" t="str">
        <f t="shared" si="15"/>
        <v/>
      </c>
      <c r="AJ36" s="12" t="str">
        <f t="shared" si="16"/>
        <v/>
      </c>
    </row>
    <row r="37" spans="1:36" x14ac:dyDescent="0.25">
      <c r="A37" s="17">
        <f t="shared" si="18"/>
        <v>5</v>
      </c>
      <c r="B37" s="8" t="s">
        <v>31</v>
      </c>
      <c r="C37" s="4" t="s">
        <v>24</v>
      </c>
      <c r="D37" s="5" t="s">
        <v>0</v>
      </c>
      <c r="E37" s="5"/>
      <c r="F37" s="5" t="s">
        <v>1</v>
      </c>
      <c r="G37" s="5" t="s">
        <v>1</v>
      </c>
      <c r="H37" s="17" t="str">
        <f t="shared" si="21"/>
        <v>""</v>
      </c>
      <c r="I37" s="5" t="s">
        <v>46</v>
      </c>
      <c r="J37" s="5" t="s">
        <v>46</v>
      </c>
      <c r="K37" s="5" t="s">
        <v>46</v>
      </c>
      <c r="L37" s="5" t="s">
        <v>46</v>
      </c>
      <c r="M37" s="5" t="s">
        <v>22</v>
      </c>
      <c r="N37" s="8">
        <f t="shared" si="22"/>
        <v>3</v>
      </c>
      <c r="O37" s="5">
        <v>0</v>
      </c>
      <c r="P37" s="5">
        <v>0</v>
      </c>
      <c r="Q37" s="5" t="s">
        <v>23</v>
      </c>
      <c r="R37" s="5" t="s">
        <v>23</v>
      </c>
      <c r="S37" s="5" t="s">
        <v>23</v>
      </c>
      <c r="T37" s="5" t="s">
        <v>46</v>
      </c>
      <c r="U37" s="5" t="s">
        <v>46</v>
      </c>
      <c r="V37" s="5" t="s">
        <v>46</v>
      </c>
      <c r="W37" s="5">
        <v>0</v>
      </c>
      <c r="X37" s="10" t="s">
        <v>77</v>
      </c>
      <c r="Y37" s="5"/>
      <c r="Z37" s="10"/>
      <c r="AB37" s="2" t="str">
        <f t="shared" si="19"/>
        <v xml:space="preserve">/*5*/{" ","","","","",false,false,false,false,10.0,3,0,0,0.0,0.0,0.0,false,false,false,0},//Текущее напряжение, В. </v>
      </c>
      <c r="AD37" s="12" t="str">
        <f t="shared" si="13"/>
        <v/>
      </c>
      <c r="AE37" s="12" t="str">
        <f t="shared" si="20"/>
        <v/>
      </c>
      <c r="AH37" s="12" t="str">
        <f t="shared" si="14"/>
        <v/>
      </c>
      <c r="AI37" s="12" t="str">
        <f t="shared" si="15"/>
        <v/>
      </c>
      <c r="AJ37" s="12" t="str">
        <f t="shared" si="16"/>
        <v/>
      </c>
    </row>
    <row r="38" spans="1:36" x14ac:dyDescent="0.25">
      <c r="A38" s="17">
        <f t="shared" si="18"/>
        <v>6</v>
      </c>
      <c r="B38" s="8" t="s">
        <v>32</v>
      </c>
      <c r="C38" s="4" t="s">
        <v>24</v>
      </c>
      <c r="D38" s="5" t="s">
        <v>0</v>
      </c>
      <c r="E38" s="5"/>
      <c r="F38" s="5" t="s">
        <v>1</v>
      </c>
      <c r="G38" s="5" t="s">
        <v>1</v>
      </c>
      <c r="H38" s="17" t="str">
        <f t="shared" si="21"/>
        <v>""</v>
      </c>
      <c r="I38" s="5" t="s">
        <v>46</v>
      </c>
      <c r="J38" s="5" t="s">
        <v>46</v>
      </c>
      <c r="K38" s="5" t="s">
        <v>46</v>
      </c>
      <c r="L38" s="5" t="s">
        <v>46</v>
      </c>
      <c r="M38" s="5" t="s">
        <v>22</v>
      </c>
      <c r="N38" s="8">
        <f t="shared" si="22"/>
        <v>3</v>
      </c>
      <c r="O38" s="5">
        <v>0</v>
      </c>
      <c r="P38" s="5">
        <v>0</v>
      </c>
      <c r="Q38" s="5" t="s">
        <v>23</v>
      </c>
      <c r="R38" s="5" t="s">
        <v>23</v>
      </c>
      <c r="S38" s="5" t="s">
        <v>23</v>
      </c>
      <c r="T38" s="5" t="s">
        <v>46</v>
      </c>
      <c r="U38" s="5" t="s">
        <v>46</v>
      </c>
      <c r="V38" s="5" t="s">
        <v>46</v>
      </c>
      <c r="W38" s="5">
        <v>0</v>
      </c>
      <c r="X38" s="10" t="s">
        <v>77</v>
      </c>
      <c r="Y38" s="5"/>
      <c r="Z38" s="10"/>
      <c r="AB38" s="2" t="str">
        <f t="shared" si="19"/>
        <v xml:space="preserve">/*6*/{" ","","","","",false,false,false,false,10.0,3,0,0,0.0,0.0,0.0,false,false,false,0},//Текущее напряжение, В. </v>
      </c>
      <c r="AD38" s="12" t="str">
        <f t="shared" si="13"/>
        <v/>
      </c>
      <c r="AE38" s="12" t="str">
        <f t="shared" si="20"/>
        <v/>
      </c>
      <c r="AH38" s="12" t="str">
        <f t="shared" si="14"/>
        <v/>
      </c>
      <c r="AI38" s="12" t="str">
        <f t="shared" si="15"/>
        <v/>
      </c>
      <c r="AJ38" s="12" t="str">
        <f t="shared" si="16"/>
        <v/>
      </c>
    </row>
    <row r="39" spans="1:36" x14ac:dyDescent="0.25">
      <c r="A39" s="17">
        <f t="shared" si="18"/>
        <v>7</v>
      </c>
      <c r="B39" s="8" t="s">
        <v>33</v>
      </c>
      <c r="C39" s="4" t="s">
        <v>24</v>
      </c>
      <c r="D39" s="5" t="s">
        <v>0</v>
      </c>
      <c r="E39" s="5"/>
      <c r="F39" s="5" t="s">
        <v>1</v>
      </c>
      <c r="G39" s="5" t="s">
        <v>1</v>
      </c>
      <c r="H39" s="17" t="str">
        <f t="shared" si="21"/>
        <v>""</v>
      </c>
      <c r="I39" s="5" t="s">
        <v>46</v>
      </c>
      <c r="J39" s="5" t="s">
        <v>46</v>
      </c>
      <c r="K39" s="5" t="s">
        <v>46</v>
      </c>
      <c r="L39" s="5" t="s">
        <v>46</v>
      </c>
      <c r="M39" s="5" t="s">
        <v>22</v>
      </c>
      <c r="N39" s="8">
        <f t="shared" si="22"/>
        <v>3</v>
      </c>
      <c r="O39" s="5">
        <v>0</v>
      </c>
      <c r="P39" s="5">
        <v>0</v>
      </c>
      <c r="Q39" s="5" t="s">
        <v>23</v>
      </c>
      <c r="R39" s="5" t="s">
        <v>23</v>
      </c>
      <c r="S39" s="5" t="s">
        <v>23</v>
      </c>
      <c r="T39" s="5" t="s">
        <v>46</v>
      </c>
      <c r="U39" s="5" t="s">
        <v>46</v>
      </c>
      <c r="V39" s="5" t="s">
        <v>46</v>
      </c>
      <c r="W39" s="5">
        <v>0</v>
      </c>
      <c r="X39" s="10" t="s">
        <v>77</v>
      </c>
      <c r="Y39" s="5"/>
      <c r="Z39" s="10"/>
      <c r="AB39" s="2" t="str">
        <f t="shared" si="19"/>
        <v xml:space="preserve">/*7*/{" ","","","","",false,false,false,false,10.0,3,0,0,0.0,0.0,0.0,false,false,false,0},//Текущее напряжение, В. </v>
      </c>
      <c r="AD39" s="12" t="str">
        <f t="shared" si="13"/>
        <v/>
      </c>
      <c r="AE39" s="12" t="str">
        <f t="shared" si="20"/>
        <v/>
      </c>
      <c r="AH39" s="12" t="str">
        <f t="shared" si="14"/>
        <v/>
      </c>
      <c r="AI39" s="12" t="str">
        <f t="shared" si="15"/>
        <v/>
      </c>
      <c r="AJ39" s="12" t="str">
        <f t="shared" si="16"/>
        <v/>
      </c>
    </row>
    <row r="40" spans="1:36" x14ac:dyDescent="0.25">
      <c r="A40" s="17">
        <f t="shared" si="18"/>
        <v>8</v>
      </c>
      <c r="B40" s="8" t="s">
        <v>34</v>
      </c>
      <c r="C40" s="4" t="s">
        <v>24</v>
      </c>
      <c r="D40" s="5" t="s">
        <v>0</v>
      </c>
      <c r="E40" s="5"/>
      <c r="F40" s="5" t="s">
        <v>1</v>
      </c>
      <c r="G40" s="5" t="s">
        <v>1</v>
      </c>
      <c r="H40" s="17" t="str">
        <f t="shared" si="21"/>
        <v>""</v>
      </c>
      <c r="I40" s="5" t="s">
        <v>46</v>
      </c>
      <c r="J40" s="5" t="s">
        <v>46</v>
      </c>
      <c r="K40" s="5" t="s">
        <v>46</v>
      </c>
      <c r="L40" s="5" t="s">
        <v>46</v>
      </c>
      <c r="M40" s="5" t="s">
        <v>22</v>
      </c>
      <c r="N40" s="8">
        <f t="shared" si="22"/>
        <v>3</v>
      </c>
      <c r="O40" s="5">
        <v>0</v>
      </c>
      <c r="P40" s="5">
        <v>0</v>
      </c>
      <c r="Q40" s="5" t="s">
        <v>23</v>
      </c>
      <c r="R40" s="5" t="s">
        <v>23</v>
      </c>
      <c r="S40" s="5" t="s">
        <v>23</v>
      </c>
      <c r="T40" s="5" t="s">
        <v>46</v>
      </c>
      <c r="U40" s="5" t="s">
        <v>46</v>
      </c>
      <c r="V40" s="5" t="s">
        <v>46</v>
      </c>
      <c r="W40" s="5">
        <v>0</v>
      </c>
      <c r="X40" s="10" t="s">
        <v>77</v>
      </c>
      <c r="Y40" s="5"/>
      <c r="Z40" s="10"/>
      <c r="AB40" s="2" t="str">
        <f t="shared" si="19"/>
        <v xml:space="preserve">/*8*/{" ","","","","",false,false,false,false,10.0,3,0,0,0.0,0.0,0.0,false,false,false,0},//Текущее напряжение, В. </v>
      </c>
      <c r="AD40" s="12" t="str">
        <f t="shared" si="13"/>
        <v/>
      </c>
      <c r="AE40" s="12" t="str">
        <f t="shared" si="20"/>
        <v/>
      </c>
      <c r="AH40" s="12" t="str">
        <f t="shared" si="14"/>
        <v/>
      </c>
      <c r="AI40" s="12" t="str">
        <f t="shared" si="15"/>
        <v/>
      </c>
      <c r="AJ40" s="12" t="str">
        <f t="shared" si="16"/>
        <v/>
      </c>
    </row>
    <row r="41" spans="1:36" x14ac:dyDescent="0.25">
      <c r="A41" s="17">
        <f t="shared" si="18"/>
        <v>9</v>
      </c>
      <c r="B41" s="8" t="s">
        <v>35</v>
      </c>
      <c r="C41" s="4" t="s">
        <v>24</v>
      </c>
      <c r="D41" s="5" t="s">
        <v>0</v>
      </c>
      <c r="E41" s="5"/>
      <c r="F41" s="5" t="s">
        <v>1</v>
      </c>
      <c r="G41" s="5" t="s">
        <v>1</v>
      </c>
      <c r="H41" s="17" t="str">
        <f t="shared" si="21"/>
        <v>""</v>
      </c>
      <c r="I41" s="5" t="s">
        <v>46</v>
      </c>
      <c r="J41" s="5" t="s">
        <v>46</v>
      </c>
      <c r="K41" s="5" t="s">
        <v>46</v>
      </c>
      <c r="L41" s="5" t="s">
        <v>46</v>
      </c>
      <c r="M41" s="5" t="s">
        <v>22</v>
      </c>
      <c r="N41" s="8">
        <f t="shared" si="22"/>
        <v>3</v>
      </c>
      <c r="O41" s="5">
        <v>0</v>
      </c>
      <c r="P41" s="5">
        <v>0</v>
      </c>
      <c r="Q41" s="5" t="s">
        <v>23</v>
      </c>
      <c r="R41" s="5" t="s">
        <v>23</v>
      </c>
      <c r="S41" s="5" t="s">
        <v>23</v>
      </c>
      <c r="T41" s="5" t="s">
        <v>46</v>
      </c>
      <c r="U41" s="5" t="s">
        <v>46</v>
      </c>
      <c r="V41" s="5" t="s">
        <v>46</v>
      </c>
      <c r="W41" s="5">
        <v>0</v>
      </c>
      <c r="X41" s="10" t="s">
        <v>77</v>
      </c>
      <c r="Y41" s="5"/>
      <c r="Z41" s="10"/>
      <c r="AB41" s="2" t="str">
        <f t="shared" si="19"/>
        <v xml:space="preserve">/*9*/{" ","","","","",false,false,false,false,10.0,3,0,0,0.0,0.0,0.0,false,false,false,0},//Текущее напряжение, В. </v>
      </c>
      <c r="AD41" s="12" t="str">
        <f t="shared" si="13"/>
        <v/>
      </c>
      <c r="AE41" s="12" t="str">
        <f t="shared" si="20"/>
        <v/>
      </c>
      <c r="AH41" s="12" t="str">
        <f t="shared" si="14"/>
        <v/>
      </c>
      <c r="AI41" s="12" t="str">
        <f t="shared" si="15"/>
        <v/>
      </c>
      <c r="AJ41" s="12" t="str">
        <f t="shared" si="16"/>
        <v/>
      </c>
    </row>
    <row r="42" spans="1:36" x14ac:dyDescent="0.25">
      <c r="A42" s="17">
        <f t="shared" si="18"/>
        <v>10</v>
      </c>
      <c r="B42" s="8" t="s">
        <v>36</v>
      </c>
      <c r="C42" s="4" t="s">
        <v>24</v>
      </c>
      <c r="D42" s="5" t="s">
        <v>0</v>
      </c>
      <c r="E42" s="5"/>
      <c r="F42" s="5" t="s">
        <v>1</v>
      </c>
      <c r="G42" s="5" t="s">
        <v>1</v>
      </c>
      <c r="H42" s="17" t="str">
        <f t="shared" si="21"/>
        <v>""</v>
      </c>
      <c r="I42" s="5" t="s">
        <v>46</v>
      </c>
      <c r="J42" s="5" t="s">
        <v>46</v>
      </c>
      <c r="K42" s="5" t="s">
        <v>46</v>
      </c>
      <c r="L42" s="5" t="s">
        <v>46</v>
      </c>
      <c r="M42" s="5" t="s">
        <v>22</v>
      </c>
      <c r="N42" s="8">
        <f t="shared" si="22"/>
        <v>3</v>
      </c>
      <c r="O42" s="5">
        <v>0</v>
      </c>
      <c r="P42" s="5">
        <v>0</v>
      </c>
      <c r="Q42" s="5" t="s">
        <v>23</v>
      </c>
      <c r="R42" s="5" t="s">
        <v>23</v>
      </c>
      <c r="S42" s="5" t="s">
        <v>23</v>
      </c>
      <c r="T42" s="5" t="s">
        <v>46</v>
      </c>
      <c r="U42" s="5" t="s">
        <v>46</v>
      </c>
      <c r="V42" s="5" t="s">
        <v>46</v>
      </c>
      <c r="W42" s="5">
        <v>0</v>
      </c>
      <c r="X42" s="10" t="s">
        <v>77</v>
      </c>
      <c r="Y42" s="5"/>
      <c r="Z42" s="10"/>
      <c r="AB42" s="2" t="str">
        <f t="shared" si="19"/>
        <v xml:space="preserve">/*10*/{" ","","","","",false,false,false,false,10.0,3,0,0,0.0,0.0,0.0,false,false,false,0},//Текущее напряжение, В. </v>
      </c>
      <c r="AD42" s="12" t="str">
        <f t="shared" si="13"/>
        <v/>
      </c>
      <c r="AE42" s="12" t="str">
        <f t="shared" si="20"/>
        <v/>
      </c>
      <c r="AH42" s="12" t="str">
        <f t="shared" si="14"/>
        <v/>
      </c>
      <c r="AI42" s="12" t="str">
        <f t="shared" si="15"/>
        <v/>
      </c>
      <c r="AJ42" s="12" t="str">
        <f t="shared" si="16"/>
        <v/>
      </c>
    </row>
    <row r="43" spans="1:36" x14ac:dyDescent="0.25">
      <c r="A43" s="17">
        <f t="shared" si="18"/>
        <v>11</v>
      </c>
      <c r="B43" s="8" t="s">
        <v>37</v>
      </c>
      <c r="C43" s="4" t="s">
        <v>24</v>
      </c>
      <c r="D43" s="5" t="s">
        <v>0</v>
      </c>
      <c r="E43" s="5"/>
      <c r="F43" s="5" t="s">
        <v>1</v>
      </c>
      <c r="G43" s="5" t="s">
        <v>1</v>
      </c>
      <c r="H43" s="17" t="str">
        <f t="shared" si="21"/>
        <v>""</v>
      </c>
      <c r="I43" s="5" t="s">
        <v>46</v>
      </c>
      <c r="J43" s="5" t="s">
        <v>46</v>
      </c>
      <c r="K43" s="5" t="s">
        <v>46</v>
      </c>
      <c r="L43" s="5" t="s">
        <v>46</v>
      </c>
      <c r="M43" s="5" t="s">
        <v>22</v>
      </c>
      <c r="N43" s="8">
        <f t="shared" si="22"/>
        <v>3</v>
      </c>
      <c r="O43" s="5">
        <v>0</v>
      </c>
      <c r="P43" s="5">
        <v>0</v>
      </c>
      <c r="Q43" s="5" t="s">
        <v>23</v>
      </c>
      <c r="R43" s="5" t="s">
        <v>23</v>
      </c>
      <c r="S43" s="5" t="s">
        <v>23</v>
      </c>
      <c r="T43" s="5" t="s">
        <v>46</v>
      </c>
      <c r="U43" s="5" t="s">
        <v>46</v>
      </c>
      <c r="V43" s="5" t="s">
        <v>46</v>
      </c>
      <c r="W43" s="5">
        <v>0</v>
      </c>
      <c r="X43" s="10" t="s">
        <v>77</v>
      </c>
      <c r="Y43" s="5"/>
      <c r="Z43" s="10"/>
      <c r="AB43" s="2" t="str">
        <f t="shared" si="19"/>
        <v xml:space="preserve">/*11*/{" ","","","","",false,false,false,false,10.0,3,0,0,0.0,0.0,0.0,false,false,false,0},//Текущее напряжение, В. </v>
      </c>
      <c r="AD43" s="12" t="str">
        <f t="shared" si="13"/>
        <v/>
      </c>
      <c r="AE43" s="12" t="str">
        <f t="shared" si="20"/>
        <v/>
      </c>
      <c r="AH43" s="12" t="str">
        <f t="shared" si="14"/>
        <v/>
      </c>
      <c r="AI43" s="12" t="str">
        <f t="shared" si="15"/>
        <v/>
      </c>
      <c r="AJ43" s="12" t="str">
        <f t="shared" si="16"/>
        <v/>
      </c>
    </row>
    <row r="44" spans="1:36" x14ac:dyDescent="0.25">
      <c r="A44" s="17">
        <f t="shared" si="18"/>
        <v>12</v>
      </c>
      <c r="B44" s="8" t="s">
        <v>38</v>
      </c>
      <c r="C44" s="4" t="s">
        <v>24</v>
      </c>
      <c r="D44" s="5" t="s">
        <v>0</v>
      </c>
      <c r="E44" s="5"/>
      <c r="F44" s="5" t="s">
        <v>1</v>
      </c>
      <c r="G44" s="5" t="s">
        <v>1</v>
      </c>
      <c r="H44" s="17" t="str">
        <f t="shared" si="21"/>
        <v>""</v>
      </c>
      <c r="I44" s="5" t="s">
        <v>46</v>
      </c>
      <c r="J44" s="5" t="s">
        <v>46</v>
      </c>
      <c r="K44" s="5" t="s">
        <v>46</v>
      </c>
      <c r="L44" s="5" t="s">
        <v>46</v>
      </c>
      <c r="M44" s="5" t="s">
        <v>22</v>
      </c>
      <c r="N44" s="8">
        <f t="shared" si="22"/>
        <v>3</v>
      </c>
      <c r="O44" s="5">
        <v>0</v>
      </c>
      <c r="P44" s="5">
        <v>0</v>
      </c>
      <c r="Q44" s="5" t="s">
        <v>23</v>
      </c>
      <c r="R44" s="5" t="s">
        <v>23</v>
      </c>
      <c r="S44" s="5" t="s">
        <v>23</v>
      </c>
      <c r="T44" s="5" t="s">
        <v>46</v>
      </c>
      <c r="U44" s="5" t="s">
        <v>46</v>
      </c>
      <c r="V44" s="5" t="s">
        <v>46</v>
      </c>
      <c r="W44" s="5">
        <v>0</v>
      </c>
      <c r="X44" s="10" t="s">
        <v>77</v>
      </c>
      <c r="Y44" s="5"/>
      <c r="Z44" s="10"/>
      <c r="AB44" s="2" t="str">
        <f t="shared" si="19"/>
        <v xml:space="preserve">/*12*/{" ","","","","",false,false,false,false,10.0,3,0,0,0.0,0.0,0.0,false,false,false,0},//Текущее напряжение, В. </v>
      </c>
      <c r="AD44" s="12" t="str">
        <f t="shared" si="13"/>
        <v/>
      </c>
      <c r="AE44" s="12" t="str">
        <f t="shared" si="20"/>
        <v/>
      </c>
      <c r="AH44" s="12" t="str">
        <f t="shared" si="14"/>
        <v/>
      </c>
      <c r="AI44" s="12" t="str">
        <f t="shared" si="15"/>
        <v/>
      </c>
      <c r="AJ44" s="12" t="str">
        <f t="shared" si="16"/>
        <v/>
      </c>
    </row>
    <row r="45" spans="1:36" x14ac:dyDescent="0.25">
      <c r="A45" s="17">
        <f t="shared" si="18"/>
        <v>13</v>
      </c>
      <c r="B45" s="8" t="s">
        <v>39</v>
      </c>
      <c r="C45" s="4" t="s">
        <v>24</v>
      </c>
      <c r="D45" s="5" t="s">
        <v>0</v>
      </c>
      <c r="E45" s="5"/>
      <c r="F45" s="5" t="s">
        <v>1</v>
      </c>
      <c r="G45" s="5" t="s">
        <v>1</v>
      </c>
      <c r="H45" s="17" t="str">
        <f t="shared" si="21"/>
        <v>""</v>
      </c>
      <c r="I45" s="5" t="s">
        <v>46</v>
      </c>
      <c r="J45" s="5" t="s">
        <v>46</v>
      </c>
      <c r="K45" s="5" t="s">
        <v>46</v>
      </c>
      <c r="L45" s="5" t="s">
        <v>46</v>
      </c>
      <c r="M45" s="5" t="s">
        <v>22</v>
      </c>
      <c r="N45" s="8">
        <f t="shared" si="22"/>
        <v>3</v>
      </c>
      <c r="O45" s="5">
        <v>0</v>
      </c>
      <c r="P45" s="5">
        <v>0</v>
      </c>
      <c r="Q45" s="5" t="s">
        <v>23</v>
      </c>
      <c r="R45" s="5" t="s">
        <v>23</v>
      </c>
      <c r="S45" s="5" t="s">
        <v>23</v>
      </c>
      <c r="T45" s="5" t="s">
        <v>46</v>
      </c>
      <c r="U45" s="5" t="s">
        <v>46</v>
      </c>
      <c r="V45" s="5" t="s">
        <v>46</v>
      </c>
      <c r="W45" s="5">
        <v>0</v>
      </c>
      <c r="X45" s="10" t="s">
        <v>77</v>
      </c>
      <c r="Y45" s="5"/>
      <c r="Z45" s="10"/>
      <c r="AB45" s="2" t="str">
        <f t="shared" si="19"/>
        <v xml:space="preserve">/*13*/{" ","","","","",false,false,false,false,10.0,3,0,0,0.0,0.0,0.0,false,false,false,0},//Текущее напряжение, В. </v>
      </c>
      <c r="AD45" s="12" t="str">
        <f t="shared" si="13"/>
        <v/>
      </c>
      <c r="AE45" s="12" t="str">
        <f t="shared" si="20"/>
        <v/>
      </c>
      <c r="AH45" s="12" t="str">
        <f t="shared" si="14"/>
        <v/>
      </c>
      <c r="AI45" s="12" t="str">
        <f t="shared" si="15"/>
        <v/>
      </c>
      <c r="AJ45" s="12" t="str">
        <f t="shared" si="16"/>
        <v/>
      </c>
    </row>
    <row r="46" spans="1:36" x14ac:dyDescent="0.25">
      <c r="A46" s="17">
        <f t="shared" si="18"/>
        <v>14</v>
      </c>
      <c r="B46" s="8" t="s">
        <v>40</v>
      </c>
      <c r="C46" s="4" t="s">
        <v>24</v>
      </c>
      <c r="D46" s="5" t="s">
        <v>0</v>
      </c>
      <c r="E46" s="5"/>
      <c r="F46" s="5" t="s">
        <v>1</v>
      </c>
      <c r="G46" s="5" t="s">
        <v>1</v>
      </c>
      <c r="H46" s="17" t="str">
        <f t="shared" si="21"/>
        <v>""</v>
      </c>
      <c r="I46" s="5" t="s">
        <v>46</v>
      </c>
      <c r="J46" s="5" t="s">
        <v>46</v>
      </c>
      <c r="K46" s="5" t="s">
        <v>46</v>
      </c>
      <c r="L46" s="5" t="s">
        <v>46</v>
      </c>
      <c r="M46" s="5" t="s">
        <v>22</v>
      </c>
      <c r="N46" s="8">
        <f t="shared" si="22"/>
        <v>3</v>
      </c>
      <c r="O46" s="5">
        <v>0</v>
      </c>
      <c r="P46" s="5">
        <v>0</v>
      </c>
      <c r="Q46" s="5" t="s">
        <v>23</v>
      </c>
      <c r="R46" s="5" t="s">
        <v>23</v>
      </c>
      <c r="S46" s="5" t="s">
        <v>23</v>
      </c>
      <c r="T46" s="5" t="s">
        <v>46</v>
      </c>
      <c r="U46" s="5" t="s">
        <v>46</v>
      </c>
      <c r="V46" s="5" t="s">
        <v>46</v>
      </c>
      <c r="W46" s="5">
        <v>0</v>
      </c>
      <c r="X46" s="10" t="s">
        <v>77</v>
      </c>
      <c r="Y46" s="10"/>
      <c r="Z46" s="10"/>
      <c r="AB46" s="2" t="str">
        <f t="shared" si="19"/>
        <v xml:space="preserve">/*14*/{" ","","","","",false,false,false,false,10.0,3,0,0,0.0,0.0,0.0,false,false,false,0},//Текущее напряжение, В. </v>
      </c>
      <c r="AD46" s="12" t="str">
        <f t="shared" si="13"/>
        <v/>
      </c>
      <c r="AE46" s="12" t="str">
        <f t="shared" si="20"/>
        <v/>
      </c>
      <c r="AH46" s="12" t="str">
        <f t="shared" si="14"/>
        <v/>
      </c>
      <c r="AI46" s="12" t="str">
        <f t="shared" si="15"/>
        <v/>
      </c>
      <c r="AJ46" s="12" t="str">
        <f t="shared" si="16"/>
        <v/>
      </c>
    </row>
    <row r="47" spans="1:36" x14ac:dyDescent="0.25">
      <c r="A47" s="17">
        <f t="shared" si="18"/>
        <v>15</v>
      </c>
      <c r="B47" s="8" t="s">
        <v>41</v>
      </c>
      <c r="C47" s="4" t="s">
        <v>24</v>
      </c>
      <c r="D47" s="5" t="s">
        <v>0</v>
      </c>
      <c r="E47" s="5"/>
      <c r="F47" s="5" t="s">
        <v>1</v>
      </c>
      <c r="G47" s="5" t="s">
        <v>1</v>
      </c>
      <c r="H47" s="17" t="str">
        <f t="shared" si="21"/>
        <v>""</v>
      </c>
      <c r="I47" s="5" t="s">
        <v>46</v>
      </c>
      <c r="J47" s="5" t="s">
        <v>46</v>
      </c>
      <c r="K47" s="5" t="s">
        <v>46</v>
      </c>
      <c r="L47" s="5" t="s">
        <v>46</v>
      </c>
      <c r="M47" s="5" t="s">
        <v>22</v>
      </c>
      <c r="N47" s="8">
        <f t="shared" si="22"/>
        <v>3</v>
      </c>
      <c r="O47" s="5">
        <v>0</v>
      </c>
      <c r="P47" s="5">
        <v>0</v>
      </c>
      <c r="Q47" s="5" t="s">
        <v>23</v>
      </c>
      <c r="R47" s="5" t="s">
        <v>23</v>
      </c>
      <c r="S47" s="5" t="s">
        <v>23</v>
      </c>
      <c r="T47" s="5" t="s">
        <v>46</v>
      </c>
      <c r="U47" s="5" t="s">
        <v>46</v>
      </c>
      <c r="V47" s="5" t="s">
        <v>46</v>
      </c>
      <c r="W47" s="5">
        <v>0</v>
      </c>
      <c r="X47" s="10" t="s">
        <v>77</v>
      </c>
      <c r="Y47" s="10"/>
      <c r="Z47" s="10"/>
      <c r="AB47" s="2" t="str">
        <f t="shared" si="19"/>
        <v xml:space="preserve">/*15*/{" ","","","","",false,false,false,false,10.0,3,0,0,0.0,0.0,0.0,false,false,false,0},//Текущее напряжение, В. </v>
      </c>
      <c r="AD47" s="12" t="str">
        <f t="shared" si="13"/>
        <v/>
      </c>
      <c r="AE47" s="12" t="str">
        <f t="shared" si="20"/>
        <v/>
      </c>
      <c r="AH47" s="12" t="str">
        <f t="shared" si="14"/>
        <v/>
      </c>
      <c r="AI47" s="12" t="str">
        <f t="shared" si="15"/>
        <v/>
      </c>
      <c r="AJ47" s="12" t="str">
        <f t="shared" si="16"/>
        <v/>
      </c>
    </row>
    <row r="48" spans="1:36" x14ac:dyDescent="0.25">
      <c r="A48" s="17">
        <f t="shared" si="18"/>
        <v>16</v>
      </c>
      <c r="B48" s="8" t="s">
        <v>42</v>
      </c>
      <c r="C48" s="4" t="s">
        <v>24</v>
      </c>
      <c r="D48" s="5" t="s">
        <v>0</v>
      </c>
      <c r="E48" s="5"/>
      <c r="F48" s="5" t="s">
        <v>1</v>
      </c>
      <c r="G48" s="5" t="s">
        <v>1</v>
      </c>
      <c r="H48" s="17" t="str">
        <f t="shared" si="21"/>
        <v>""</v>
      </c>
      <c r="I48" s="5" t="s">
        <v>46</v>
      </c>
      <c r="J48" s="5" t="s">
        <v>46</v>
      </c>
      <c r="K48" s="5" t="s">
        <v>46</v>
      </c>
      <c r="L48" s="5" t="s">
        <v>46</v>
      </c>
      <c r="M48" s="5" t="s">
        <v>22</v>
      </c>
      <c r="N48" s="8">
        <f t="shared" si="22"/>
        <v>3</v>
      </c>
      <c r="O48" s="5">
        <v>0</v>
      </c>
      <c r="P48" s="5">
        <v>0</v>
      </c>
      <c r="Q48" s="5" t="s">
        <v>23</v>
      </c>
      <c r="R48" s="5" t="s">
        <v>23</v>
      </c>
      <c r="S48" s="5" t="s">
        <v>23</v>
      </c>
      <c r="T48" s="5" t="s">
        <v>46</v>
      </c>
      <c r="U48" s="5" t="s">
        <v>46</v>
      </c>
      <c r="V48" s="5" t="s">
        <v>46</v>
      </c>
      <c r="W48" s="5">
        <v>0</v>
      </c>
      <c r="X48" s="10" t="s">
        <v>77</v>
      </c>
      <c r="Y48" s="10"/>
      <c r="Z48" s="10"/>
      <c r="AB48" s="2" t="str">
        <f t="shared" si="19"/>
        <v xml:space="preserve">/*16*/{" ","","","","",false,false,false,false,10.0,3,0,0,0.0,0.0,0.0,false,false,false,0},//Текущее напряжение, В. </v>
      </c>
      <c r="AD48" s="12" t="str">
        <f t="shared" si="13"/>
        <v/>
      </c>
      <c r="AE48" s="12" t="str">
        <f t="shared" si="20"/>
        <v/>
      </c>
      <c r="AH48" s="12" t="str">
        <f t="shared" si="14"/>
        <v/>
      </c>
      <c r="AI48" s="12" t="str">
        <f t="shared" si="15"/>
        <v/>
      </c>
      <c r="AJ48" s="12" t="str">
        <f t="shared" si="16"/>
        <v/>
      </c>
    </row>
    <row r="49" spans="1:36" x14ac:dyDescent="0.25">
      <c r="A49" s="17">
        <f t="shared" si="18"/>
        <v>17</v>
      </c>
      <c r="B49" s="8" t="s">
        <v>43</v>
      </c>
      <c r="C49" s="4" t="s">
        <v>24</v>
      </c>
      <c r="D49" s="5" t="s">
        <v>0</v>
      </c>
      <c r="E49" s="5"/>
      <c r="F49" s="5" t="s">
        <v>1</v>
      </c>
      <c r="G49" s="5" t="s">
        <v>1</v>
      </c>
      <c r="H49" s="17" t="str">
        <f t="shared" si="21"/>
        <v>""</v>
      </c>
      <c r="I49" s="5" t="s">
        <v>46</v>
      </c>
      <c r="J49" s="5" t="s">
        <v>46</v>
      </c>
      <c r="K49" s="5" t="s">
        <v>46</v>
      </c>
      <c r="L49" s="5" t="s">
        <v>46</v>
      </c>
      <c r="M49" s="5" t="s">
        <v>22</v>
      </c>
      <c r="N49" s="8">
        <f t="shared" si="22"/>
        <v>3</v>
      </c>
      <c r="O49" s="5">
        <v>0</v>
      </c>
      <c r="P49" s="5">
        <v>0</v>
      </c>
      <c r="Q49" s="5" t="s">
        <v>23</v>
      </c>
      <c r="R49" s="5" t="s">
        <v>23</v>
      </c>
      <c r="S49" s="5" t="s">
        <v>23</v>
      </c>
      <c r="T49" s="5" t="s">
        <v>46</v>
      </c>
      <c r="U49" s="5" t="s">
        <v>46</v>
      </c>
      <c r="V49" s="5" t="s">
        <v>46</v>
      </c>
      <c r="W49" s="5">
        <v>0</v>
      </c>
      <c r="X49" s="10" t="s">
        <v>77</v>
      </c>
      <c r="Y49" s="10"/>
      <c r="Z49" s="10"/>
      <c r="AB49" s="2" t="str">
        <f t="shared" si="19"/>
        <v xml:space="preserve">/*17*/{" ","","","","",false,false,false,false,10.0,3,0,0,0.0,0.0,0.0,false,false,false,0},//Текущее напряжение, В. </v>
      </c>
      <c r="AD49" s="12" t="str">
        <f t="shared" si="13"/>
        <v/>
      </c>
      <c r="AE49" s="12" t="str">
        <f t="shared" si="20"/>
        <v/>
      </c>
      <c r="AH49" s="12" t="str">
        <f t="shared" si="14"/>
        <v/>
      </c>
      <c r="AI49" s="12" t="str">
        <f t="shared" si="15"/>
        <v/>
      </c>
      <c r="AJ49" s="12" t="str">
        <f t="shared" si="16"/>
        <v/>
      </c>
    </row>
    <row r="50" spans="1:36" x14ac:dyDescent="0.25">
      <c r="A50" s="17">
        <f t="shared" si="18"/>
        <v>18</v>
      </c>
      <c r="B50" s="8" t="s">
        <v>44</v>
      </c>
      <c r="C50" s="4" t="s">
        <v>24</v>
      </c>
      <c r="D50" s="5" t="s">
        <v>0</v>
      </c>
      <c r="E50" s="5"/>
      <c r="F50" s="5" t="s">
        <v>1</v>
      </c>
      <c r="G50" s="5" t="s">
        <v>1</v>
      </c>
      <c r="H50" s="17" t="str">
        <f t="shared" si="21"/>
        <v>""</v>
      </c>
      <c r="I50" s="5" t="s">
        <v>46</v>
      </c>
      <c r="J50" s="5" t="s">
        <v>46</v>
      </c>
      <c r="K50" s="5" t="s">
        <v>46</v>
      </c>
      <c r="L50" s="5" t="s">
        <v>46</v>
      </c>
      <c r="M50" s="5" t="s">
        <v>22</v>
      </c>
      <c r="N50" s="8">
        <f t="shared" si="22"/>
        <v>3</v>
      </c>
      <c r="O50" s="5">
        <v>0</v>
      </c>
      <c r="P50" s="5">
        <v>0</v>
      </c>
      <c r="Q50" s="5" t="s">
        <v>23</v>
      </c>
      <c r="R50" s="5" t="s">
        <v>23</v>
      </c>
      <c r="S50" s="5" t="s">
        <v>23</v>
      </c>
      <c r="T50" s="5" t="s">
        <v>46</v>
      </c>
      <c r="U50" s="5" t="s">
        <v>46</v>
      </c>
      <c r="V50" s="5" t="s">
        <v>46</v>
      </c>
      <c r="W50" s="5">
        <v>0</v>
      </c>
      <c r="X50" s="10" t="s">
        <v>77</v>
      </c>
      <c r="Y50" s="10"/>
      <c r="Z50" s="10"/>
      <c r="AB50" s="2" t="str">
        <f t="shared" si="19"/>
        <v xml:space="preserve">/*18*/{" ","","","","",false,false,false,false,10.0,3,0,0,0.0,0.0,0.0,false,false,false,0},//Текущее напряжение, В. </v>
      </c>
      <c r="AD50" s="12" t="str">
        <f t="shared" si="13"/>
        <v/>
      </c>
      <c r="AE50" s="12" t="str">
        <f t="shared" si="20"/>
        <v/>
      </c>
      <c r="AH50" s="12" t="str">
        <f t="shared" si="14"/>
        <v/>
      </c>
      <c r="AI50" s="12" t="str">
        <f t="shared" si="15"/>
        <v/>
      </c>
      <c r="AJ50" s="12" t="str">
        <f t="shared" si="16"/>
        <v/>
      </c>
    </row>
    <row r="51" spans="1:36" x14ac:dyDescent="0.25">
      <c r="A51" s="17">
        <f t="shared" si="18"/>
        <v>19</v>
      </c>
      <c r="B51" s="8" t="s">
        <v>45</v>
      </c>
      <c r="C51" s="4" t="s">
        <v>24</v>
      </c>
      <c r="D51" s="5" t="s">
        <v>0</v>
      </c>
      <c r="E51" s="5"/>
      <c r="F51" s="5" t="s">
        <v>1</v>
      </c>
      <c r="G51" s="5" t="s">
        <v>1</v>
      </c>
      <c r="H51" s="17" t="str">
        <f t="shared" si="21"/>
        <v>""</v>
      </c>
      <c r="I51" s="5" t="s">
        <v>46</v>
      </c>
      <c r="J51" s="5" t="s">
        <v>46</v>
      </c>
      <c r="K51" s="5" t="s">
        <v>46</v>
      </c>
      <c r="L51" s="5" t="s">
        <v>46</v>
      </c>
      <c r="M51" s="5" t="s">
        <v>22</v>
      </c>
      <c r="N51" s="8">
        <f t="shared" si="22"/>
        <v>3</v>
      </c>
      <c r="O51" s="5">
        <v>0</v>
      </c>
      <c r="P51" s="5">
        <v>0</v>
      </c>
      <c r="Q51" s="5" t="s">
        <v>23</v>
      </c>
      <c r="R51" s="5" t="s">
        <v>23</v>
      </c>
      <c r="S51" s="5" t="s">
        <v>23</v>
      </c>
      <c r="T51" s="5" t="s">
        <v>46</v>
      </c>
      <c r="U51" s="5" t="s">
        <v>46</v>
      </c>
      <c r="V51" s="5" t="s">
        <v>46</v>
      </c>
      <c r="W51" s="5">
        <v>0</v>
      </c>
      <c r="X51" s="10" t="s">
        <v>77</v>
      </c>
      <c r="Y51" s="10"/>
      <c r="Z51" s="10"/>
      <c r="AB51" s="2" t="str">
        <f t="shared" si="19"/>
        <v xml:space="preserve">/*19*/{" ","","","","",false,false,false,false,10.0,3,0,0,0.0,0.0,0.0,false,false,false,0},//Текущее напряжение, В. </v>
      </c>
      <c r="AD51" s="12" t="str">
        <f>IF(X51="Да",CONCATENATE("float &amp;",SUBSTITUTE(Z51," ","")," = Screens[",$A$29,"][",A51,"].Param;// Ссылка. ",$Y$32,". ",Y51),"")</f>
        <v/>
      </c>
      <c r="AE51" s="12" t="str">
        <f t="shared" si="20"/>
        <v/>
      </c>
      <c r="AH51" s="12" t="str">
        <f>IF(X51="Да",CONCATENATE("Ref.",,SUBSTITUTE(Z51," ","")," = ",$AI$1,$B$29,SUBSTITUTE(E51," ",""),";//",$Y$32,". ",Y51),"")</f>
        <v/>
      </c>
      <c r="AI51" s="12" t="str">
        <f t="shared" si="15"/>
        <v/>
      </c>
      <c r="AJ51" s="12" t="str">
        <f t="shared" ref="AJ51" si="23">IF(X51="Да",CONCATENATE($AI$1,SUBSTITUTE(Z51," ","")," = ",M51,";//",$Y$32,". ",Y51),"")</f>
        <v/>
      </c>
    </row>
    <row r="52" spans="1:36" x14ac:dyDescent="0.25">
      <c r="AB52" s="3" t="s">
        <v>25</v>
      </c>
      <c r="AE52" s="12"/>
      <c r="AI52" s="12" t="str">
        <f t="shared" ref="AI52:AI53" si="24">IF(X52="Да",CONCATENATE($AI$1,$B$29,SUBSTITUTE(E52," ","")," = Ref.",$B$29,SUBSTITUTE(E52," ",""),";//",$Y$32,Y52),"")</f>
        <v/>
      </c>
    </row>
    <row r="53" spans="1:36" x14ac:dyDescent="0.25">
      <c r="A53" s="14">
        <f>A29+1</f>
        <v>2</v>
      </c>
      <c r="B53" s="12" t="s">
        <v>92</v>
      </c>
      <c r="D53" s="7" t="s">
        <v>56</v>
      </c>
      <c r="AB53" s="3" t="s">
        <v>51</v>
      </c>
      <c r="AE53" s="12"/>
      <c r="AI53" s="12" t="str">
        <f t="shared" si="24"/>
        <v/>
      </c>
    </row>
    <row r="54" spans="1:36" ht="45" x14ac:dyDescent="0.25">
      <c r="A54" s="15" t="s">
        <v>78</v>
      </c>
      <c r="B54" s="18"/>
      <c r="C54" s="6" t="s">
        <v>25</v>
      </c>
      <c r="D54" s="6" t="s">
        <v>17</v>
      </c>
      <c r="E54" s="6" t="s">
        <v>18</v>
      </c>
      <c r="F54" s="6" t="s">
        <v>19</v>
      </c>
      <c r="G54" s="6" t="s">
        <v>20</v>
      </c>
      <c r="H54" s="6" t="s">
        <v>21</v>
      </c>
      <c r="I54" s="6" t="s">
        <v>2</v>
      </c>
      <c r="J54" s="6" t="s">
        <v>3</v>
      </c>
      <c r="K54" s="6" t="s">
        <v>4</v>
      </c>
      <c r="L54" s="6" t="s">
        <v>5</v>
      </c>
      <c r="M54" s="6" t="s">
        <v>6</v>
      </c>
      <c r="N54" s="6" t="s">
        <v>7</v>
      </c>
      <c r="O54" s="6" t="s">
        <v>8</v>
      </c>
      <c r="P54" s="6" t="s">
        <v>9</v>
      </c>
      <c r="Q54" s="6" t="s">
        <v>10</v>
      </c>
      <c r="R54" s="6" t="s">
        <v>11</v>
      </c>
      <c r="S54" s="6" t="s">
        <v>12</v>
      </c>
      <c r="T54" s="6" t="s">
        <v>13</v>
      </c>
      <c r="U54" s="6" t="s">
        <v>14</v>
      </c>
      <c r="V54" s="6" t="s">
        <v>15</v>
      </c>
      <c r="W54" s="6" t="s">
        <v>16</v>
      </c>
      <c r="X54" s="6" t="s">
        <v>76</v>
      </c>
      <c r="Y54" s="6" t="s">
        <v>80</v>
      </c>
      <c r="Z54" s="6" t="s">
        <v>97</v>
      </c>
      <c r="AA54" s="1"/>
      <c r="AB54" s="2" t="str">
        <f>CONCATENATE(D53," - ",E56)</f>
        <v>//Экран 2 - Скорость</v>
      </c>
      <c r="AD54" s="2" t="s">
        <v>81</v>
      </c>
      <c r="AE54" s="2" t="s">
        <v>82</v>
      </c>
      <c r="AH54" s="19" t="s">
        <v>83</v>
      </c>
      <c r="AI54" s="19" t="s">
        <v>84</v>
      </c>
      <c r="AJ54" s="19" t="s">
        <v>85</v>
      </c>
    </row>
    <row r="55" spans="1:36" x14ac:dyDescent="0.25">
      <c r="A55" s="16"/>
      <c r="B55" s="13"/>
      <c r="C55" s="4" t="s">
        <v>24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11"/>
      <c r="Y55" s="11"/>
      <c r="Z55" s="11"/>
      <c r="AA55" s="1"/>
      <c r="AB55" s="3" t="str">
        <f>C55</f>
        <v>{</v>
      </c>
    </row>
    <row r="56" spans="1:36" x14ac:dyDescent="0.25">
      <c r="A56" s="17">
        <v>0</v>
      </c>
      <c r="B56" s="8" t="s">
        <v>27</v>
      </c>
      <c r="C56" s="4" t="s">
        <v>24</v>
      </c>
      <c r="D56" s="5" t="s">
        <v>0</v>
      </c>
      <c r="E56" s="5" t="s">
        <v>92</v>
      </c>
      <c r="F56" s="5" t="s">
        <v>1</v>
      </c>
      <c r="G56" s="5" t="s">
        <v>88</v>
      </c>
      <c r="H56" s="17" t="str">
        <f t="shared" ref="H56:H75" si="25">IF(AND(I56="true",J56="false"),""" ""","""""")</f>
        <v>""</v>
      </c>
      <c r="I56" s="5" t="s">
        <v>47</v>
      </c>
      <c r="J56" s="5" t="s">
        <v>47</v>
      </c>
      <c r="K56" s="5" t="s">
        <v>47</v>
      </c>
      <c r="L56" s="5" t="s">
        <v>47</v>
      </c>
      <c r="M56" s="5" t="s">
        <v>48</v>
      </c>
      <c r="N56" s="8">
        <v>5</v>
      </c>
      <c r="O56" s="5">
        <v>0</v>
      </c>
      <c r="P56" s="5" t="s">
        <v>93</v>
      </c>
      <c r="Q56" s="5" t="s">
        <v>48</v>
      </c>
      <c r="R56" s="5" t="s">
        <v>101</v>
      </c>
      <c r="S56" s="5" t="s">
        <v>120</v>
      </c>
      <c r="T56" s="5" t="s">
        <v>46</v>
      </c>
      <c r="U56" s="5" t="s">
        <v>46</v>
      </c>
      <c r="V56" s="5" t="s">
        <v>46</v>
      </c>
      <c r="W56" s="5">
        <v>0</v>
      </c>
      <c r="X56" s="10" t="s">
        <v>77</v>
      </c>
      <c r="Y56" s="5" t="s">
        <v>122</v>
      </c>
      <c r="Z56" s="20"/>
      <c r="AB56" s="2" t="str">
        <f>CONCATENATE(B56,C56,D56,",""",E56,""",",F56,",",G56,",",H56,",",I56,",",J56,",",K56,",",L56,",",M56,",",N56,",",O56,",",P56,",",Q56,",",R56,",",S56,",",T56,",",U56,",",V56,",",W56,"},//",Y56)</f>
        <v>/*0*/{" ","Скорость",""," об/мин","",true,true,true,true,100.0,5,0,4,100.0,50.0,5.0,false,false,false,0},//Скорость, 50-100%</v>
      </c>
      <c r="AD56" s="12" t="str">
        <f>IF(X56="Да",CONCATENATE("float &amp;",SUBSTITUTE(Z56," ","")," = Screens[",$A$29,"][",A56,"].Param;// Ссылка. ",$Y$56,". ",Y56),"")</f>
        <v/>
      </c>
      <c r="AE56" s="12" t="str">
        <f t="shared" ref="AE56:AE75" si="26">IF(X56="Да",IF(T56="false",CONCATENATE("float ",SUBSTITUTE(Z56," ",""),"; //",$Y$56,". ",Y56),CONCATENATE("bool ",SUBSTITUTE(Z56," ",""),"; //",$Y$56,". ",Y56)),"")</f>
        <v/>
      </c>
      <c r="AH56" s="12" t="str">
        <f t="shared" ref="AH56:AH75" si="27">IF(X56="Да",CONCATENATE("Ref.",,SUBSTITUTE(Z56," ","")," = ",$AI$1,SUBSTITUTE(Z56," ",""),";//",$Y$56,". ",Y56),"")</f>
        <v/>
      </c>
      <c r="AI56" s="12" t="str">
        <f t="shared" ref="AI56:AI76" si="28">IF(X56="Да",CONCATENATE($AI$1,SUBSTITUTE(Z56," ","")," = Ref.",SUBSTITUTE(Z56," ",""),";//",$Y$56,". ",Y56),"")</f>
        <v/>
      </c>
      <c r="AJ56" s="12" t="str">
        <f>IF(X56="Да",CONCATENATE($AI$1,SUBSTITUTE(Z56," ","")," = ",M56,";//",$Y$56,". ",Y56),"")</f>
        <v/>
      </c>
    </row>
    <row r="57" spans="1:36" x14ac:dyDescent="0.25">
      <c r="A57" s="17">
        <f>A56+1</f>
        <v>1</v>
      </c>
      <c r="B57" s="8" t="s">
        <v>26</v>
      </c>
      <c r="C57" s="4" t="s">
        <v>24</v>
      </c>
      <c r="D57" s="5" t="s">
        <v>0</v>
      </c>
      <c r="E57" s="8" t="s">
        <v>136</v>
      </c>
      <c r="F57" s="5" t="s">
        <v>1</v>
      </c>
      <c r="G57" s="5" t="s">
        <v>137</v>
      </c>
      <c r="H57" s="17" t="str">
        <f t="shared" si="25"/>
        <v>" "</v>
      </c>
      <c r="I57" s="5" t="s">
        <v>47</v>
      </c>
      <c r="J57" s="5" t="s">
        <v>46</v>
      </c>
      <c r="K57" s="5" t="s">
        <v>47</v>
      </c>
      <c r="L57" s="5" t="s">
        <v>46</v>
      </c>
      <c r="M57" s="5" t="s">
        <v>138</v>
      </c>
      <c r="N57" s="8">
        <f>N56</f>
        <v>5</v>
      </c>
      <c r="O57" s="5" t="s">
        <v>87</v>
      </c>
      <c r="P57" s="5">
        <v>0</v>
      </c>
      <c r="Q57" s="5" t="s">
        <v>138</v>
      </c>
      <c r="R57" s="5" t="s">
        <v>139</v>
      </c>
      <c r="S57" s="5" t="s">
        <v>139</v>
      </c>
      <c r="T57" s="5" t="s">
        <v>46</v>
      </c>
      <c r="U57" s="5" t="s">
        <v>46</v>
      </c>
      <c r="V57" s="5" t="s">
        <v>46</v>
      </c>
      <c r="W57" s="5">
        <v>0</v>
      </c>
      <c r="X57" s="10" t="s">
        <v>96</v>
      </c>
      <c r="Y57" s="8" t="s">
        <v>141</v>
      </c>
      <c r="Z57" s="20" t="s">
        <v>140</v>
      </c>
      <c r="AB57" s="2" t="str">
        <f>CONCATENATE(B57,C57,D57,",""",E57,""",",F57,",",G57,",",H57,",",I57,",",J57,",",K57,",",L57,",",M57,",",N57,",",O57,",",P57,",",Q57,",",R57,",",S57,",",T57,",",U57,",",V57,",",W57,"},//",Y$56,". ",Y57)</f>
        <v>/*1*/{" ","Угол шага",""," °"," ",true,false,true,false,1.8,5,1,0,1.8,0.9,0.9,false,false,false,0},//Скорость, 50-100%. Угол шага, °</v>
      </c>
      <c r="AD57" s="12" t="str">
        <f t="shared" ref="AD57:AD75" si="29">IF(X57="Да",IF(T57="false",CONCATENATE("float &amp;",SUBSTITUTE(Z57," ","")," = Screens[",$A$53,"][",A57,"].Param;// Ссылка. ",$Y$56,". ",Y57),CONCATENATE("bool &amp;",SUBSTITUTE(Z57," ","")," = Screens[",$A$53,"][",A57,"].BoolParam;// Ссылка. ",$Y$56,". ",Y57)),"")</f>
        <v>float &amp;StepAngle = Screens[2][1].Param;// Ссылка. Скорость, 50-100%. Угол шага, °</v>
      </c>
      <c r="AE57" s="12" t="str">
        <f t="shared" si="26"/>
        <v>float StepAngle; //Скорость, 50-100%. Угол шага, °</v>
      </c>
      <c r="AH57" s="12" t="str">
        <f t="shared" si="27"/>
        <v>Ref.StepAngle = FlashMemory.StepAngle;//Скорость, 50-100%. Угол шага, °</v>
      </c>
      <c r="AI57" s="12" t="str">
        <f t="shared" si="28"/>
        <v>FlashMemory.StepAngle = Ref.StepAngle;//Скорость, 50-100%. Угол шага, °</v>
      </c>
      <c r="AJ57" s="12" t="str">
        <f t="shared" ref="AJ57:AJ75" si="30">IF(X57="Да",IF(T57="false",CONCATENATE($AI$1,SUBSTITUTE(Z57," ","")," = ",M57,";//",$Y$56,". ",Y57),CONCATENATE($AI$1,SUBSTITUTE(Z57," ","")," = ",U57,";//",$Y$56,". ",Y57)),"")</f>
        <v>FlashMemory.StepAngle = 1.8;//Скорость, 50-100%. Угол шага, °</v>
      </c>
    </row>
    <row r="58" spans="1:36" x14ac:dyDescent="0.25">
      <c r="A58" s="17">
        <f t="shared" ref="A58:A75" si="31">A57+1</f>
        <v>2</v>
      </c>
      <c r="B58" s="8" t="s">
        <v>28</v>
      </c>
      <c r="C58" s="4" t="s">
        <v>24</v>
      </c>
      <c r="D58" s="5" t="s">
        <v>0</v>
      </c>
      <c r="E58" s="8" t="s">
        <v>142</v>
      </c>
      <c r="F58" s="5" t="s">
        <v>1</v>
      </c>
      <c r="G58" s="5" t="s">
        <v>143</v>
      </c>
      <c r="H58" s="17" t="str">
        <f t="shared" si="25"/>
        <v>" "</v>
      </c>
      <c r="I58" s="5" t="s">
        <v>47</v>
      </c>
      <c r="J58" s="5" t="s">
        <v>46</v>
      </c>
      <c r="K58" s="5" t="s">
        <v>47</v>
      </c>
      <c r="L58" s="5" t="s">
        <v>46</v>
      </c>
      <c r="M58" s="5" t="s">
        <v>104</v>
      </c>
      <c r="N58" s="8">
        <f t="shared" ref="N58:N70" si="32">N57</f>
        <v>5</v>
      </c>
      <c r="O58" s="5" t="s">
        <v>87</v>
      </c>
      <c r="P58" s="5">
        <v>0</v>
      </c>
      <c r="Q58" s="5" t="s">
        <v>89</v>
      </c>
      <c r="R58" s="5" t="s">
        <v>91</v>
      </c>
      <c r="S58" s="5" t="s">
        <v>90</v>
      </c>
      <c r="T58" s="5" t="s">
        <v>46</v>
      </c>
      <c r="U58" s="5" t="s">
        <v>46</v>
      </c>
      <c r="V58" s="5" t="s">
        <v>46</v>
      </c>
      <c r="W58" s="5">
        <v>0</v>
      </c>
      <c r="X58" s="10" t="s">
        <v>96</v>
      </c>
      <c r="Y58" s="8" t="s">
        <v>142</v>
      </c>
      <c r="Z58" s="20" t="s">
        <v>145</v>
      </c>
      <c r="AB58" s="2" t="str">
        <f t="shared" ref="AB58:AB75" si="33">CONCATENATE(B58,C58,D58,",""",E58,""",",F58,",",G58,",",H58,",",I58,",",J58,",",K58,",",L58,",",M58,",",N58,",",O58,",",P58,",",Q58,",",R58,",",S58,",",T58,",",U58,",",V58,",",W58,"},//",Y$56,". ",Y58)</f>
        <v>/*2*/{" ","Ускорение",""," об/мин/сек"," ",true,false,true,false,80.0,5,1,0,150.0,-50.0,1.0,false,false,false,0},//Скорость, 50-100%. Ускорение</v>
      </c>
      <c r="AD58" s="12" t="str">
        <f t="shared" si="29"/>
        <v>float &amp;Acceleration = Screens[2][2].Param;// Ссылка. Скорость, 50-100%. Ускорение</v>
      </c>
      <c r="AE58" s="12" t="str">
        <f t="shared" si="26"/>
        <v>float Acceleration; //Скорость, 50-100%. Ускорение</v>
      </c>
      <c r="AH58" s="12" t="str">
        <f t="shared" si="27"/>
        <v>Ref.Acceleration = FlashMemory.Acceleration;//Скорость, 50-100%. Ускорение</v>
      </c>
      <c r="AI58" s="12" t="str">
        <f t="shared" si="28"/>
        <v>FlashMemory.Acceleration = Ref.Acceleration;//Скорость, 50-100%. Ускорение</v>
      </c>
      <c r="AJ58" s="12" t="str">
        <f t="shared" si="30"/>
        <v>FlashMemory.Acceleration = 80.0;//Скорость, 50-100%. Ускорение</v>
      </c>
    </row>
    <row r="59" spans="1:36" x14ac:dyDescent="0.25">
      <c r="A59" s="17">
        <f t="shared" si="31"/>
        <v>3</v>
      </c>
      <c r="B59" s="8" t="s">
        <v>29</v>
      </c>
      <c r="C59" s="4" t="s">
        <v>24</v>
      </c>
      <c r="D59" s="5" t="s">
        <v>0</v>
      </c>
      <c r="E59" s="5" t="s">
        <v>134</v>
      </c>
      <c r="F59" s="5" t="s">
        <v>1</v>
      </c>
      <c r="G59" s="5" t="s">
        <v>88</v>
      </c>
      <c r="H59" s="17" t="str">
        <f t="shared" si="25"/>
        <v>" "</v>
      </c>
      <c r="I59" s="5" t="s">
        <v>47</v>
      </c>
      <c r="J59" s="5" t="s">
        <v>46</v>
      </c>
      <c r="K59" s="5" t="s">
        <v>47</v>
      </c>
      <c r="L59" s="5" t="s">
        <v>46</v>
      </c>
      <c r="M59" s="5" t="s">
        <v>150</v>
      </c>
      <c r="N59" s="8">
        <f t="shared" si="32"/>
        <v>5</v>
      </c>
      <c r="O59" s="5" t="s">
        <v>87</v>
      </c>
      <c r="P59" s="5">
        <v>0</v>
      </c>
      <c r="Q59" s="5" t="s">
        <v>149</v>
      </c>
      <c r="R59" s="5" t="s">
        <v>102</v>
      </c>
      <c r="S59" s="5" t="s">
        <v>22</v>
      </c>
      <c r="T59" s="5" t="s">
        <v>46</v>
      </c>
      <c r="U59" s="5" t="s">
        <v>46</v>
      </c>
      <c r="V59" s="5" t="s">
        <v>46</v>
      </c>
      <c r="W59" s="5">
        <v>0</v>
      </c>
      <c r="X59" s="10" t="s">
        <v>96</v>
      </c>
      <c r="Y59" s="5" t="s">
        <v>144</v>
      </c>
      <c r="Z59" s="20" t="s">
        <v>146</v>
      </c>
      <c r="AB59" s="2" t="str">
        <f t="shared" si="33"/>
        <v>/*3*/{" ","Макс. Скорость",""," об/мин"," ",true,false,true,false,1200.0,5,1,0,1800.0,500.0,10.0,false,false,false,0},//Скорость, 50-100%. Максимальная скорость, об/мин</v>
      </c>
      <c r="AD59" s="12" t="str">
        <f t="shared" si="29"/>
        <v>float &amp;MaxSpeed = Screens[2][3].Param;// Ссылка. Скорость, 50-100%. Максимальная скорость, об/мин</v>
      </c>
      <c r="AE59" s="12" t="str">
        <f t="shared" si="26"/>
        <v>float MaxSpeed; //Скорость, 50-100%. Максимальная скорость, об/мин</v>
      </c>
      <c r="AH59" s="12" t="str">
        <f t="shared" si="27"/>
        <v>Ref.MaxSpeed = FlashMemory.MaxSpeed;//Скорость, 50-100%. Максимальная скорость, об/мин</v>
      </c>
      <c r="AI59" s="12" t="str">
        <f t="shared" si="28"/>
        <v>FlashMemory.MaxSpeed = Ref.MaxSpeed;//Скорость, 50-100%. Максимальная скорость, об/мин</v>
      </c>
      <c r="AJ59" s="12" t="str">
        <f t="shared" si="30"/>
        <v>FlashMemory.MaxSpeed = 1200.0;//Скорость, 50-100%. Максимальная скорость, об/мин</v>
      </c>
    </row>
    <row r="60" spans="1:36" x14ac:dyDescent="0.25">
      <c r="A60" s="17">
        <f t="shared" si="31"/>
        <v>4</v>
      </c>
      <c r="B60" s="8" t="s">
        <v>30</v>
      </c>
      <c r="C60" s="4" t="s">
        <v>24</v>
      </c>
      <c r="D60" s="5" t="s">
        <v>0</v>
      </c>
      <c r="E60" s="5" t="s">
        <v>106</v>
      </c>
      <c r="F60" s="5" t="s">
        <v>1</v>
      </c>
      <c r="G60" s="5" t="s">
        <v>88</v>
      </c>
      <c r="H60" s="17" t="str">
        <f t="shared" si="25"/>
        <v>" "</v>
      </c>
      <c r="I60" s="5" t="s">
        <v>47</v>
      </c>
      <c r="J60" s="5" t="s">
        <v>46</v>
      </c>
      <c r="K60" s="5" t="s">
        <v>47</v>
      </c>
      <c r="L60" s="5" t="s">
        <v>46</v>
      </c>
      <c r="M60" s="5" t="s">
        <v>48</v>
      </c>
      <c r="N60" s="8">
        <f t="shared" si="32"/>
        <v>5</v>
      </c>
      <c r="O60" s="5" t="s">
        <v>87</v>
      </c>
      <c r="P60" s="5">
        <v>0</v>
      </c>
      <c r="Q60" s="5" t="s">
        <v>102</v>
      </c>
      <c r="R60" s="5" t="s">
        <v>101</v>
      </c>
      <c r="S60" s="5" t="s">
        <v>22</v>
      </c>
      <c r="T60" s="5" t="s">
        <v>46</v>
      </c>
      <c r="U60" s="5" t="s">
        <v>46</v>
      </c>
      <c r="V60" s="5" t="s">
        <v>46</v>
      </c>
      <c r="W60" s="5">
        <v>0</v>
      </c>
      <c r="X60" s="10" t="s">
        <v>96</v>
      </c>
      <c r="Y60" s="5" t="s">
        <v>148</v>
      </c>
      <c r="Z60" s="20" t="s">
        <v>147</v>
      </c>
      <c r="AB60" s="2" t="str">
        <f t="shared" si="33"/>
        <v>/*4*/{" ","Мин. Скорость",""," об/мин"," ",true,false,true,false,100.0,5,1,0,500.0,50.0,10.0,false,false,false,0},//Скорость, 50-100%. Минимальная скорость, об/мин</v>
      </c>
      <c r="AD60" s="12" t="str">
        <f t="shared" si="29"/>
        <v>float &amp;MinSpeed = Screens[2][4].Param;// Ссылка. Скорость, 50-100%. Минимальная скорость, об/мин</v>
      </c>
      <c r="AE60" s="12" t="str">
        <f t="shared" si="26"/>
        <v>float MinSpeed; //Скорость, 50-100%. Минимальная скорость, об/мин</v>
      </c>
      <c r="AH60" s="12" t="str">
        <f t="shared" si="27"/>
        <v>Ref.MinSpeed = FlashMemory.MinSpeed;//Скорость, 50-100%. Минимальная скорость, об/мин</v>
      </c>
      <c r="AI60" s="12" t="str">
        <f t="shared" si="28"/>
        <v>FlashMemory.MinSpeed = Ref.MinSpeed;//Скорость, 50-100%. Минимальная скорость, об/мин</v>
      </c>
      <c r="AJ60" s="12" t="str">
        <f t="shared" si="30"/>
        <v>FlashMemory.MinSpeed = 100.0;//Скорость, 50-100%. Минимальная скорость, об/мин</v>
      </c>
    </row>
    <row r="61" spans="1:36" x14ac:dyDescent="0.25">
      <c r="A61" s="17">
        <f t="shared" si="31"/>
        <v>5</v>
      </c>
      <c r="B61" s="8" t="s">
        <v>31</v>
      </c>
      <c r="C61" s="4" t="s">
        <v>24</v>
      </c>
      <c r="D61" s="5" t="s">
        <v>0</v>
      </c>
      <c r="E61" s="8"/>
      <c r="F61" s="5" t="s">
        <v>1</v>
      </c>
      <c r="G61" s="5" t="s">
        <v>1</v>
      </c>
      <c r="H61" s="17" t="str">
        <f t="shared" si="25"/>
        <v>""</v>
      </c>
      <c r="I61" s="5" t="s">
        <v>46</v>
      </c>
      <c r="J61" s="5" t="s">
        <v>46</v>
      </c>
      <c r="K61" s="5" t="s">
        <v>46</v>
      </c>
      <c r="L61" s="5" t="s">
        <v>46</v>
      </c>
      <c r="M61" s="5" t="s">
        <v>22</v>
      </c>
      <c r="N61" s="8">
        <f t="shared" si="32"/>
        <v>5</v>
      </c>
      <c r="O61" s="5">
        <v>0</v>
      </c>
      <c r="P61" s="5">
        <v>0</v>
      </c>
      <c r="Q61" s="5" t="s">
        <v>23</v>
      </c>
      <c r="R61" s="5" t="s">
        <v>23</v>
      </c>
      <c r="S61" s="5" t="s">
        <v>23</v>
      </c>
      <c r="T61" s="5" t="s">
        <v>46</v>
      </c>
      <c r="U61" s="5" t="s">
        <v>46</v>
      </c>
      <c r="V61" s="5" t="s">
        <v>46</v>
      </c>
      <c r="W61" s="5">
        <v>0</v>
      </c>
      <c r="X61" s="10" t="s">
        <v>77</v>
      </c>
      <c r="Y61" s="5"/>
      <c r="Z61" s="20"/>
      <c r="AB61" s="2" t="str">
        <f t="shared" si="33"/>
        <v xml:space="preserve">/*5*/{" ","","","","",false,false,false,false,10.0,5,0,0,0.0,0.0,0.0,false,false,false,0},//Скорость, 50-100%. </v>
      </c>
      <c r="AD61" s="12" t="str">
        <f t="shared" si="29"/>
        <v/>
      </c>
      <c r="AE61" s="12" t="str">
        <f t="shared" si="26"/>
        <v/>
      </c>
      <c r="AH61" s="12" t="str">
        <f t="shared" si="27"/>
        <v/>
      </c>
      <c r="AI61" s="12" t="str">
        <f t="shared" si="28"/>
        <v/>
      </c>
      <c r="AJ61" s="12" t="str">
        <f t="shared" si="30"/>
        <v/>
      </c>
    </row>
    <row r="62" spans="1:36" x14ac:dyDescent="0.25">
      <c r="A62" s="17">
        <f t="shared" si="31"/>
        <v>6</v>
      </c>
      <c r="B62" s="8" t="s">
        <v>32</v>
      </c>
      <c r="C62" s="4" t="s">
        <v>24</v>
      </c>
      <c r="D62" s="5" t="s">
        <v>0</v>
      </c>
      <c r="E62" s="8"/>
      <c r="F62" s="5" t="s">
        <v>1</v>
      </c>
      <c r="G62" s="5" t="s">
        <v>1</v>
      </c>
      <c r="H62" s="17" t="str">
        <f t="shared" si="25"/>
        <v>""</v>
      </c>
      <c r="I62" s="5" t="s">
        <v>46</v>
      </c>
      <c r="J62" s="5" t="s">
        <v>46</v>
      </c>
      <c r="K62" s="5" t="s">
        <v>46</v>
      </c>
      <c r="L62" s="5" t="s">
        <v>46</v>
      </c>
      <c r="M62" s="5" t="s">
        <v>22</v>
      </c>
      <c r="N62" s="8">
        <f t="shared" si="32"/>
        <v>5</v>
      </c>
      <c r="O62" s="5">
        <v>0</v>
      </c>
      <c r="P62" s="5">
        <v>0</v>
      </c>
      <c r="Q62" s="5" t="s">
        <v>23</v>
      </c>
      <c r="R62" s="5" t="s">
        <v>23</v>
      </c>
      <c r="S62" s="5" t="s">
        <v>23</v>
      </c>
      <c r="T62" s="5" t="s">
        <v>46</v>
      </c>
      <c r="U62" s="5" t="s">
        <v>46</v>
      </c>
      <c r="V62" s="5" t="s">
        <v>46</v>
      </c>
      <c r="W62" s="5">
        <v>0</v>
      </c>
      <c r="X62" s="10" t="s">
        <v>77</v>
      </c>
      <c r="Y62" s="5"/>
      <c r="Z62" s="20"/>
      <c r="AB62" s="2" t="str">
        <f t="shared" si="33"/>
        <v xml:space="preserve">/*6*/{" ","","","","",false,false,false,false,10.0,5,0,0,0.0,0.0,0.0,false,false,false,0},//Скорость, 50-100%. </v>
      </c>
      <c r="AD62" s="12" t="str">
        <f t="shared" si="29"/>
        <v/>
      </c>
      <c r="AE62" s="12" t="str">
        <f t="shared" si="26"/>
        <v/>
      </c>
      <c r="AH62" s="12" t="str">
        <f t="shared" si="27"/>
        <v/>
      </c>
      <c r="AI62" s="12" t="str">
        <f t="shared" si="28"/>
        <v/>
      </c>
      <c r="AJ62" s="12" t="str">
        <f t="shared" si="30"/>
        <v/>
      </c>
    </row>
    <row r="63" spans="1:36" x14ac:dyDescent="0.25">
      <c r="A63" s="17">
        <f t="shared" si="31"/>
        <v>7</v>
      </c>
      <c r="B63" s="8" t="s">
        <v>33</v>
      </c>
      <c r="C63" s="4" t="s">
        <v>24</v>
      </c>
      <c r="D63" s="5" t="s">
        <v>0</v>
      </c>
      <c r="E63" s="5"/>
      <c r="F63" s="5" t="s">
        <v>1</v>
      </c>
      <c r="G63" s="5" t="s">
        <v>1</v>
      </c>
      <c r="H63" s="17" t="str">
        <f t="shared" si="25"/>
        <v>""</v>
      </c>
      <c r="I63" s="5" t="s">
        <v>46</v>
      </c>
      <c r="J63" s="5" t="s">
        <v>46</v>
      </c>
      <c r="K63" s="5" t="s">
        <v>46</v>
      </c>
      <c r="L63" s="5" t="s">
        <v>46</v>
      </c>
      <c r="M63" s="5" t="s">
        <v>22</v>
      </c>
      <c r="N63" s="8">
        <f t="shared" si="32"/>
        <v>5</v>
      </c>
      <c r="O63" s="5">
        <v>0</v>
      </c>
      <c r="P63" s="5">
        <v>0</v>
      </c>
      <c r="Q63" s="5" t="s">
        <v>23</v>
      </c>
      <c r="R63" s="5" t="s">
        <v>23</v>
      </c>
      <c r="S63" s="5" t="s">
        <v>23</v>
      </c>
      <c r="T63" s="5" t="s">
        <v>46</v>
      </c>
      <c r="U63" s="5" t="s">
        <v>46</v>
      </c>
      <c r="V63" s="5" t="s">
        <v>46</v>
      </c>
      <c r="W63" s="5">
        <v>0</v>
      </c>
      <c r="X63" s="10" t="s">
        <v>77</v>
      </c>
      <c r="Y63" s="5"/>
      <c r="Z63" s="20"/>
      <c r="AB63" s="2" t="str">
        <f t="shared" si="33"/>
        <v xml:space="preserve">/*7*/{" ","","","","",false,false,false,false,10.0,5,0,0,0.0,0.0,0.0,false,false,false,0},//Скорость, 50-100%. </v>
      </c>
      <c r="AD63" s="12" t="str">
        <f t="shared" si="29"/>
        <v/>
      </c>
      <c r="AE63" s="12" t="str">
        <f t="shared" si="26"/>
        <v/>
      </c>
      <c r="AH63" s="12" t="str">
        <f t="shared" si="27"/>
        <v/>
      </c>
      <c r="AI63" s="12" t="str">
        <f t="shared" si="28"/>
        <v/>
      </c>
      <c r="AJ63" s="12" t="str">
        <f t="shared" si="30"/>
        <v/>
      </c>
    </row>
    <row r="64" spans="1:36" x14ac:dyDescent="0.25">
      <c r="A64" s="17">
        <f t="shared" si="31"/>
        <v>8</v>
      </c>
      <c r="B64" s="8" t="s">
        <v>34</v>
      </c>
      <c r="C64" s="4" t="s">
        <v>24</v>
      </c>
      <c r="D64" s="5" t="s">
        <v>0</v>
      </c>
      <c r="E64" s="5"/>
      <c r="F64" s="5" t="s">
        <v>1</v>
      </c>
      <c r="G64" s="5" t="s">
        <v>1</v>
      </c>
      <c r="H64" s="17" t="str">
        <f t="shared" si="25"/>
        <v>""</v>
      </c>
      <c r="I64" s="5" t="s">
        <v>46</v>
      </c>
      <c r="J64" s="5" t="s">
        <v>46</v>
      </c>
      <c r="K64" s="5" t="s">
        <v>46</v>
      </c>
      <c r="L64" s="5" t="s">
        <v>46</v>
      </c>
      <c r="M64" s="5" t="s">
        <v>22</v>
      </c>
      <c r="N64" s="8">
        <f t="shared" si="32"/>
        <v>5</v>
      </c>
      <c r="O64" s="5">
        <v>0</v>
      </c>
      <c r="P64" s="5">
        <v>0</v>
      </c>
      <c r="Q64" s="5" t="s">
        <v>23</v>
      </c>
      <c r="R64" s="5" t="s">
        <v>23</v>
      </c>
      <c r="S64" s="5" t="s">
        <v>23</v>
      </c>
      <c r="T64" s="5" t="s">
        <v>46</v>
      </c>
      <c r="U64" s="5" t="s">
        <v>46</v>
      </c>
      <c r="V64" s="5" t="s">
        <v>46</v>
      </c>
      <c r="W64" s="5">
        <v>0</v>
      </c>
      <c r="X64" s="10" t="s">
        <v>77</v>
      </c>
      <c r="Y64" s="5"/>
      <c r="Z64" s="20"/>
      <c r="AB64" s="2" t="str">
        <f t="shared" si="33"/>
        <v xml:space="preserve">/*8*/{" ","","","","",false,false,false,false,10.0,5,0,0,0.0,0.0,0.0,false,false,false,0},//Скорость, 50-100%. </v>
      </c>
      <c r="AD64" s="12" t="str">
        <f t="shared" si="29"/>
        <v/>
      </c>
      <c r="AE64" s="12" t="str">
        <f t="shared" si="26"/>
        <v/>
      </c>
      <c r="AH64" s="12" t="str">
        <f t="shared" si="27"/>
        <v/>
      </c>
      <c r="AI64" s="12" t="str">
        <f t="shared" si="28"/>
        <v/>
      </c>
      <c r="AJ64" s="12" t="str">
        <f t="shared" si="30"/>
        <v/>
      </c>
    </row>
    <row r="65" spans="1:36" x14ac:dyDescent="0.25">
      <c r="A65" s="17">
        <f t="shared" si="31"/>
        <v>9</v>
      </c>
      <c r="B65" s="8" t="s">
        <v>35</v>
      </c>
      <c r="C65" s="4" t="s">
        <v>24</v>
      </c>
      <c r="D65" s="5" t="s">
        <v>0</v>
      </c>
      <c r="E65" s="5"/>
      <c r="F65" s="5" t="s">
        <v>1</v>
      </c>
      <c r="G65" s="5" t="s">
        <v>1</v>
      </c>
      <c r="H65" s="17" t="str">
        <f t="shared" si="25"/>
        <v>""</v>
      </c>
      <c r="I65" s="5" t="s">
        <v>46</v>
      </c>
      <c r="J65" s="5" t="s">
        <v>46</v>
      </c>
      <c r="K65" s="5" t="s">
        <v>46</v>
      </c>
      <c r="L65" s="5" t="s">
        <v>46</v>
      </c>
      <c r="M65" s="5" t="s">
        <v>22</v>
      </c>
      <c r="N65" s="8">
        <f t="shared" si="32"/>
        <v>5</v>
      </c>
      <c r="O65" s="5">
        <v>0</v>
      </c>
      <c r="P65" s="5">
        <v>0</v>
      </c>
      <c r="Q65" s="5" t="s">
        <v>23</v>
      </c>
      <c r="R65" s="5" t="s">
        <v>23</v>
      </c>
      <c r="S65" s="5" t="s">
        <v>23</v>
      </c>
      <c r="T65" s="5" t="s">
        <v>46</v>
      </c>
      <c r="U65" s="5" t="s">
        <v>46</v>
      </c>
      <c r="V65" s="5" t="s">
        <v>46</v>
      </c>
      <c r="W65" s="5">
        <v>0</v>
      </c>
      <c r="X65" s="10" t="s">
        <v>77</v>
      </c>
      <c r="Y65" s="5"/>
      <c r="Z65" s="10"/>
      <c r="AB65" s="2" t="str">
        <f t="shared" si="33"/>
        <v xml:space="preserve">/*9*/{" ","","","","",false,false,false,false,10.0,5,0,0,0.0,0.0,0.0,false,false,false,0},//Скорость, 50-100%. </v>
      </c>
      <c r="AD65" s="12" t="str">
        <f t="shared" si="29"/>
        <v/>
      </c>
      <c r="AE65" s="12" t="str">
        <f t="shared" si="26"/>
        <v/>
      </c>
      <c r="AH65" s="12" t="str">
        <f t="shared" si="27"/>
        <v/>
      </c>
      <c r="AI65" s="12" t="str">
        <f t="shared" si="28"/>
        <v/>
      </c>
      <c r="AJ65" s="12" t="str">
        <f t="shared" si="30"/>
        <v/>
      </c>
    </row>
    <row r="66" spans="1:36" x14ac:dyDescent="0.25">
      <c r="A66" s="17">
        <f t="shared" si="31"/>
        <v>10</v>
      </c>
      <c r="B66" s="8" t="s">
        <v>36</v>
      </c>
      <c r="C66" s="4" t="s">
        <v>24</v>
      </c>
      <c r="D66" s="5" t="s">
        <v>0</v>
      </c>
      <c r="E66" s="5"/>
      <c r="F66" s="5" t="s">
        <v>1</v>
      </c>
      <c r="G66" s="5" t="s">
        <v>1</v>
      </c>
      <c r="H66" s="17" t="str">
        <f t="shared" si="25"/>
        <v>""</v>
      </c>
      <c r="I66" s="5" t="s">
        <v>46</v>
      </c>
      <c r="J66" s="5" t="s">
        <v>46</v>
      </c>
      <c r="K66" s="5" t="s">
        <v>46</v>
      </c>
      <c r="L66" s="5" t="s">
        <v>46</v>
      </c>
      <c r="M66" s="5" t="s">
        <v>22</v>
      </c>
      <c r="N66" s="8">
        <f t="shared" si="32"/>
        <v>5</v>
      </c>
      <c r="O66" s="5">
        <v>0</v>
      </c>
      <c r="P66" s="5">
        <v>0</v>
      </c>
      <c r="Q66" s="5" t="s">
        <v>23</v>
      </c>
      <c r="R66" s="5" t="s">
        <v>23</v>
      </c>
      <c r="S66" s="5" t="s">
        <v>23</v>
      </c>
      <c r="T66" s="5" t="s">
        <v>46</v>
      </c>
      <c r="U66" s="5" t="s">
        <v>46</v>
      </c>
      <c r="V66" s="5" t="s">
        <v>46</v>
      </c>
      <c r="W66" s="5">
        <v>0</v>
      </c>
      <c r="X66" s="10" t="s">
        <v>77</v>
      </c>
      <c r="Y66" s="5"/>
      <c r="Z66" s="10"/>
      <c r="AB66" s="2" t="str">
        <f t="shared" si="33"/>
        <v xml:space="preserve">/*10*/{" ","","","","",false,false,false,false,10.0,5,0,0,0.0,0.0,0.0,false,false,false,0},//Скорость, 50-100%. </v>
      </c>
      <c r="AD66" s="12" t="str">
        <f t="shared" si="29"/>
        <v/>
      </c>
      <c r="AE66" s="12" t="str">
        <f t="shared" si="26"/>
        <v/>
      </c>
      <c r="AH66" s="12" t="str">
        <f t="shared" si="27"/>
        <v/>
      </c>
      <c r="AI66" s="12" t="str">
        <f t="shared" si="28"/>
        <v/>
      </c>
      <c r="AJ66" s="12" t="str">
        <f t="shared" si="30"/>
        <v/>
      </c>
    </row>
    <row r="67" spans="1:36" x14ac:dyDescent="0.25">
      <c r="A67" s="17">
        <f t="shared" si="31"/>
        <v>11</v>
      </c>
      <c r="B67" s="8" t="s">
        <v>37</v>
      </c>
      <c r="C67" s="4" t="s">
        <v>24</v>
      </c>
      <c r="D67" s="5" t="s">
        <v>0</v>
      </c>
      <c r="E67" s="5"/>
      <c r="F67" s="5" t="s">
        <v>1</v>
      </c>
      <c r="G67" s="5" t="s">
        <v>1</v>
      </c>
      <c r="H67" s="17" t="str">
        <f t="shared" si="25"/>
        <v>""</v>
      </c>
      <c r="I67" s="5" t="s">
        <v>46</v>
      </c>
      <c r="J67" s="5" t="s">
        <v>46</v>
      </c>
      <c r="K67" s="5" t="s">
        <v>46</v>
      </c>
      <c r="L67" s="5" t="s">
        <v>46</v>
      </c>
      <c r="M67" s="5" t="s">
        <v>22</v>
      </c>
      <c r="N67" s="8">
        <f t="shared" si="32"/>
        <v>5</v>
      </c>
      <c r="O67" s="5">
        <v>0</v>
      </c>
      <c r="P67" s="5">
        <v>0</v>
      </c>
      <c r="Q67" s="5" t="s">
        <v>23</v>
      </c>
      <c r="R67" s="5" t="s">
        <v>23</v>
      </c>
      <c r="S67" s="5" t="s">
        <v>23</v>
      </c>
      <c r="T67" s="5" t="s">
        <v>46</v>
      </c>
      <c r="U67" s="5" t="s">
        <v>46</v>
      </c>
      <c r="V67" s="5" t="s">
        <v>46</v>
      </c>
      <c r="W67" s="5">
        <v>0</v>
      </c>
      <c r="X67" s="10" t="s">
        <v>77</v>
      </c>
      <c r="Y67" s="5"/>
      <c r="Z67" s="10"/>
      <c r="AB67" s="2" t="str">
        <f t="shared" si="33"/>
        <v xml:space="preserve">/*11*/{" ","","","","",false,false,false,false,10.0,5,0,0,0.0,0.0,0.0,false,false,false,0},//Скорость, 50-100%. </v>
      </c>
      <c r="AD67" s="12" t="str">
        <f t="shared" si="29"/>
        <v/>
      </c>
      <c r="AE67" s="12" t="str">
        <f t="shared" si="26"/>
        <v/>
      </c>
      <c r="AH67" s="12" t="str">
        <f t="shared" si="27"/>
        <v/>
      </c>
      <c r="AI67" s="12" t="str">
        <f t="shared" si="28"/>
        <v/>
      </c>
      <c r="AJ67" s="12" t="str">
        <f t="shared" si="30"/>
        <v/>
      </c>
    </row>
    <row r="68" spans="1:36" x14ac:dyDescent="0.25">
      <c r="A68" s="17">
        <f t="shared" si="31"/>
        <v>12</v>
      </c>
      <c r="B68" s="8" t="s">
        <v>38</v>
      </c>
      <c r="C68" s="4" t="s">
        <v>24</v>
      </c>
      <c r="D68" s="5" t="s">
        <v>0</v>
      </c>
      <c r="E68" s="5"/>
      <c r="F68" s="5" t="s">
        <v>1</v>
      </c>
      <c r="G68" s="5" t="s">
        <v>1</v>
      </c>
      <c r="H68" s="17" t="str">
        <f t="shared" si="25"/>
        <v>""</v>
      </c>
      <c r="I68" s="5" t="s">
        <v>46</v>
      </c>
      <c r="J68" s="5" t="s">
        <v>46</v>
      </c>
      <c r="K68" s="5" t="s">
        <v>46</v>
      </c>
      <c r="L68" s="5" t="s">
        <v>46</v>
      </c>
      <c r="M68" s="5" t="s">
        <v>22</v>
      </c>
      <c r="N68" s="8">
        <f t="shared" si="32"/>
        <v>5</v>
      </c>
      <c r="O68" s="5">
        <v>0</v>
      </c>
      <c r="P68" s="5">
        <v>0</v>
      </c>
      <c r="Q68" s="5" t="s">
        <v>23</v>
      </c>
      <c r="R68" s="5" t="s">
        <v>23</v>
      </c>
      <c r="S68" s="5" t="s">
        <v>23</v>
      </c>
      <c r="T68" s="5" t="s">
        <v>46</v>
      </c>
      <c r="U68" s="5" t="s">
        <v>46</v>
      </c>
      <c r="V68" s="5" t="s">
        <v>46</v>
      </c>
      <c r="W68" s="5">
        <v>0</v>
      </c>
      <c r="X68" s="10" t="s">
        <v>77</v>
      </c>
      <c r="Y68" s="5"/>
      <c r="Z68" s="10"/>
      <c r="AB68" s="2" t="str">
        <f t="shared" si="33"/>
        <v xml:space="preserve">/*12*/{" ","","","","",false,false,false,false,10.0,5,0,0,0.0,0.0,0.0,false,false,false,0},//Скорость, 50-100%. </v>
      </c>
      <c r="AD68" s="12" t="str">
        <f t="shared" si="29"/>
        <v/>
      </c>
      <c r="AE68" s="12" t="str">
        <f t="shared" si="26"/>
        <v/>
      </c>
      <c r="AH68" s="12" t="str">
        <f t="shared" si="27"/>
        <v/>
      </c>
      <c r="AI68" s="12" t="str">
        <f t="shared" si="28"/>
        <v/>
      </c>
      <c r="AJ68" s="12" t="str">
        <f t="shared" si="30"/>
        <v/>
      </c>
    </row>
    <row r="69" spans="1:36" x14ac:dyDescent="0.25">
      <c r="A69" s="17">
        <f t="shared" si="31"/>
        <v>13</v>
      </c>
      <c r="B69" s="8" t="s">
        <v>39</v>
      </c>
      <c r="C69" s="4" t="s">
        <v>24</v>
      </c>
      <c r="D69" s="5" t="s">
        <v>0</v>
      </c>
      <c r="E69" s="5"/>
      <c r="F69" s="5" t="s">
        <v>1</v>
      </c>
      <c r="G69" s="5" t="s">
        <v>1</v>
      </c>
      <c r="H69" s="17" t="str">
        <f t="shared" si="25"/>
        <v>""</v>
      </c>
      <c r="I69" s="5" t="s">
        <v>46</v>
      </c>
      <c r="J69" s="5" t="s">
        <v>46</v>
      </c>
      <c r="K69" s="5" t="s">
        <v>46</v>
      </c>
      <c r="L69" s="5" t="s">
        <v>46</v>
      </c>
      <c r="M69" s="5" t="s">
        <v>22</v>
      </c>
      <c r="N69" s="8">
        <f t="shared" si="32"/>
        <v>5</v>
      </c>
      <c r="O69" s="5">
        <v>0</v>
      </c>
      <c r="P69" s="5">
        <v>0</v>
      </c>
      <c r="Q69" s="5" t="s">
        <v>23</v>
      </c>
      <c r="R69" s="5" t="s">
        <v>23</v>
      </c>
      <c r="S69" s="5" t="s">
        <v>23</v>
      </c>
      <c r="T69" s="5" t="s">
        <v>46</v>
      </c>
      <c r="U69" s="5" t="s">
        <v>46</v>
      </c>
      <c r="V69" s="5" t="s">
        <v>46</v>
      </c>
      <c r="W69" s="5">
        <v>0</v>
      </c>
      <c r="X69" s="10" t="s">
        <v>77</v>
      </c>
      <c r="Y69" s="5"/>
      <c r="Z69" s="10"/>
      <c r="AB69" s="2" t="str">
        <f t="shared" si="33"/>
        <v xml:space="preserve">/*13*/{" ","","","","",false,false,false,false,10.0,5,0,0,0.0,0.0,0.0,false,false,false,0},//Скорость, 50-100%. </v>
      </c>
      <c r="AD69" s="12" t="str">
        <f t="shared" si="29"/>
        <v/>
      </c>
      <c r="AE69" s="12" t="str">
        <f t="shared" si="26"/>
        <v/>
      </c>
      <c r="AH69" s="12" t="str">
        <f t="shared" si="27"/>
        <v/>
      </c>
      <c r="AI69" s="12" t="str">
        <f t="shared" si="28"/>
        <v/>
      </c>
      <c r="AJ69" s="12" t="str">
        <f t="shared" si="30"/>
        <v/>
      </c>
    </row>
    <row r="70" spans="1:36" x14ac:dyDescent="0.25">
      <c r="A70" s="17">
        <f t="shared" si="31"/>
        <v>14</v>
      </c>
      <c r="B70" s="8" t="s">
        <v>40</v>
      </c>
      <c r="C70" s="4" t="s">
        <v>24</v>
      </c>
      <c r="D70" s="5" t="s">
        <v>0</v>
      </c>
      <c r="E70" s="5"/>
      <c r="F70" s="5" t="s">
        <v>1</v>
      </c>
      <c r="G70" s="5" t="s">
        <v>1</v>
      </c>
      <c r="H70" s="17" t="str">
        <f t="shared" si="25"/>
        <v>""</v>
      </c>
      <c r="I70" s="5" t="s">
        <v>46</v>
      </c>
      <c r="J70" s="5" t="s">
        <v>46</v>
      </c>
      <c r="K70" s="5" t="s">
        <v>46</v>
      </c>
      <c r="L70" s="5" t="s">
        <v>46</v>
      </c>
      <c r="M70" s="5" t="s">
        <v>22</v>
      </c>
      <c r="N70" s="8">
        <f t="shared" si="32"/>
        <v>5</v>
      </c>
      <c r="O70" s="5">
        <v>0</v>
      </c>
      <c r="P70" s="5">
        <v>0</v>
      </c>
      <c r="Q70" s="5" t="s">
        <v>23</v>
      </c>
      <c r="R70" s="5" t="s">
        <v>23</v>
      </c>
      <c r="S70" s="5" t="s">
        <v>23</v>
      </c>
      <c r="T70" s="5" t="s">
        <v>46</v>
      </c>
      <c r="U70" s="5" t="s">
        <v>46</v>
      </c>
      <c r="V70" s="5" t="s">
        <v>46</v>
      </c>
      <c r="W70" s="5">
        <v>0</v>
      </c>
      <c r="X70" s="10" t="s">
        <v>77</v>
      </c>
      <c r="Y70" s="10"/>
      <c r="Z70" s="10"/>
      <c r="AB70" s="2" t="str">
        <f t="shared" si="33"/>
        <v xml:space="preserve">/*14*/{" ","","","","",false,false,false,false,10.0,5,0,0,0.0,0.0,0.0,false,false,false,0},//Скорость, 50-100%. </v>
      </c>
      <c r="AD70" s="12" t="str">
        <f t="shared" si="29"/>
        <v/>
      </c>
      <c r="AE70" s="12" t="str">
        <f t="shared" si="26"/>
        <v/>
      </c>
      <c r="AH70" s="12" t="str">
        <f t="shared" si="27"/>
        <v/>
      </c>
      <c r="AI70" s="12" t="str">
        <f t="shared" si="28"/>
        <v/>
      </c>
      <c r="AJ70" s="12" t="str">
        <f t="shared" si="30"/>
        <v/>
      </c>
    </row>
    <row r="71" spans="1:36" x14ac:dyDescent="0.25">
      <c r="A71" s="17">
        <f t="shared" si="31"/>
        <v>15</v>
      </c>
      <c r="B71" s="8" t="s">
        <v>41</v>
      </c>
      <c r="C71" s="4" t="s">
        <v>24</v>
      </c>
      <c r="D71" s="5" t="s">
        <v>0</v>
      </c>
      <c r="E71" s="5"/>
      <c r="F71" s="5" t="s">
        <v>1</v>
      </c>
      <c r="G71" s="5" t="s">
        <v>1</v>
      </c>
      <c r="H71" s="17" t="str">
        <f t="shared" si="25"/>
        <v>""</v>
      </c>
      <c r="I71" s="5" t="s">
        <v>46</v>
      </c>
      <c r="J71" s="5" t="s">
        <v>46</v>
      </c>
      <c r="K71" s="5" t="s">
        <v>46</v>
      </c>
      <c r="L71" s="5" t="s">
        <v>46</v>
      </c>
      <c r="M71" s="5" t="s">
        <v>22</v>
      </c>
      <c r="N71" s="8">
        <f t="shared" ref="N71:N75" si="34">N70</f>
        <v>5</v>
      </c>
      <c r="O71" s="5">
        <v>0</v>
      </c>
      <c r="P71" s="5">
        <v>0</v>
      </c>
      <c r="Q71" s="5" t="s">
        <v>23</v>
      </c>
      <c r="R71" s="5" t="s">
        <v>23</v>
      </c>
      <c r="S71" s="5" t="s">
        <v>23</v>
      </c>
      <c r="T71" s="5" t="s">
        <v>46</v>
      </c>
      <c r="U71" s="5" t="s">
        <v>46</v>
      </c>
      <c r="V71" s="5" t="s">
        <v>46</v>
      </c>
      <c r="W71" s="5">
        <v>0</v>
      </c>
      <c r="X71" s="10" t="s">
        <v>77</v>
      </c>
      <c r="Y71" s="10"/>
      <c r="Z71" s="10"/>
      <c r="AB71" s="2" t="str">
        <f t="shared" si="33"/>
        <v xml:space="preserve">/*15*/{" ","","","","",false,false,false,false,10.0,5,0,0,0.0,0.0,0.0,false,false,false,0},//Скорость, 50-100%. </v>
      </c>
      <c r="AD71" s="12" t="str">
        <f t="shared" si="29"/>
        <v/>
      </c>
      <c r="AE71" s="12" t="str">
        <f t="shared" si="26"/>
        <v/>
      </c>
      <c r="AH71" s="12" t="str">
        <f t="shared" si="27"/>
        <v/>
      </c>
      <c r="AI71" s="12" t="str">
        <f t="shared" si="28"/>
        <v/>
      </c>
      <c r="AJ71" s="12" t="str">
        <f t="shared" si="30"/>
        <v/>
      </c>
    </row>
    <row r="72" spans="1:36" x14ac:dyDescent="0.25">
      <c r="A72" s="17">
        <f t="shared" si="31"/>
        <v>16</v>
      </c>
      <c r="B72" s="8" t="s">
        <v>42</v>
      </c>
      <c r="C72" s="4" t="s">
        <v>24</v>
      </c>
      <c r="D72" s="5" t="s">
        <v>0</v>
      </c>
      <c r="E72" s="5"/>
      <c r="F72" s="5" t="s">
        <v>1</v>
      </c>
      <c r="G72" s="5" t="s">
        <v>1</v>
      </c>
      <c r="H72" s="17" t="str">
        <f t="shared" si="25"/>
        <v>""</v>
      </c>
      <c r="I72" s="5" t="s">
        <v>46</v>
      </c>
      <c r="J72" s="5" t="s">
        <v>46</v>
      </c>
      <c r="K72" s="5" t="s">
        <v>46</v>
      </c>
      <c r="L72" s="5" t="s">
        <v>46</v>
      </c>
      <c r="M72" s="5" t="s">
        <v>22</v>
      </c>
      <c r="N72" s="8">
        <f t="shared" si="34"/>
        <v>5</v>
      </c>
      <c r="O72" s="5">
        <v>0</v>
      </c>
      <c r="P72" s="5">
        <v>0</v>
      </c>
      <c r="Q72" s="5" t="s">
        <v>23</v>
      </c>
      <c r="R72" s="5" t="s">
        <v>23</v>
      </c>
      <c r="S72" s="5" t="s">
        <v>23</v>
      </c>
      <c r="T72" s="5" t="s">
        <v>46</v>
      </c>
      <c r="U72" s="5" t="s">
        <v>46</v>
      </c>
      <c r="V72" s="5" t="s">
        <v>46</v>
      </c>
      <c r="W72" s="5">
        <v>0</v>
      </c>
      <c r="X72" s="10" t="s">
        <v>77</v>
      </c>
      <c r="Y72" s="10"/>
      <c r="Z72" s="10"/>
      <c r="AB72" s="2" t="str">
        <f t="shared" si="33"/>
        <v xml:space="preserve">/*16*/{" ","","","","",false,false,false,false,10.0,5,0,0,0.0,0.0,0.0,false,false,false,0},//Скорость, 50-100%. </v>
      </c>
      <c r="AD72" s="12" t="str">
        <f t="shared" si="29"/>
        <v/>
      </c>
      <c r="AE72" s="12" t="str">
        <f t="shared" si="26"/>
        <v/>
      </c>
      <c r="AH72" s="12" t="str">
        <f t="shared" si="27"/>
        <v/>
      </c>
      <c r="AI72" s="12" t="str">
        <f t="shared" si="28"/>
        <v/>
      </c>
      <c r="AJ72" s="12" t="str">
        <f t="shared" si="30"/>
        <v/>
      </c>
    </row>
    <row r="73" spans="1:36" x14ac:dyDescent="0.25">
      <c r="A73" s="17">
        <f t="shared" si="31"/>
        <v>17</v>
      </c>
      <c r="B73" s="8" t="s">
        <v>43</v>
      </c>
      <c r="C73" s="4" t="s">
        <v>24</v>
      </c>
      <c r="D73" s="5" t="s">
        <v>0</v>
      </c>
      <c r="E73" s="5"/>
      <c r="F73" s="5" t="s">
        <v>1</v>
      </c>
      <c r="G73" s="5" t="s">
        <v>1</v>
      </c>
      <c r="H73" s="17" t="str">
        <f t="shared" si="25"/>
        <v>""</v>
      </c>
      <c r="I73" s="5" t="s">
        <v>46</v>
      </c>
      <c r="J73" s="5" t="s">
        <v>46</v>
      </c>
      <c r="K73" s="5" t="s">
        <v>46</v>
      </c>
      <c r="L73" s="5" t="s">
        <v>46</v>
      </c>
      <c r="M73" s="5" t="s">
        <v>22</v>
      </c>
      <c r="N73" s="8">
        <f t="shared" si="34"/>
        <v>5</v>
      </c>
      <c r="O73" s="5">
        <v>0</v>
      </c>
      <c r="P73" s="5">
        <v>0</v>
      </c>
      <c r="Q73" s="5" t="s">
        <v>23</v>
      </c>
      <c r="R73" s="5" t="s">
        <v>23</v>
      </c>
      <c r="S73" s="5" t="s">
        <v>23</v>
      </c>
      <c r="T73" s="5" t="s">
        <v>46</v>
      </c>
      <c r="U73" s="5" t="s">
        <v>46</v>
      </c>
      <c r="V73" s="5" t="s">
        <v>46</v>
      </c>
      <c r="W73" s="5">
        <v>0</v>
      </c>
      <c r="X73" s="10" t="s">
        <v>77</v>
      </c>
      <c r="Y73" s="10"/>
      <c r="Z73" s="10"/>
      <c r="AB73" s="2" t="str">
        <f t="shared" si="33"/>
        <v xml:space="preserve">/*17*/{" ","","","","",false,false,false,false,10.0,5,0,0,0.0,0.0,0.0,false,false,false,0},//Скорость, 50-100%. </v>
      </c>
      <c r="AD73" s="12" t="str">
        <f t="shared" si="29"/>
        <v/>
      </c>
      <c r="AE73" s="12" t="str">
        <f t="shared" si="26"/>
        <v/>
      </c>
      <c r="AH73" s="12" t="str">
        <f t="shared" si="27"/>
        <v/>
      </c>
      <c r="AI73" s="12" t="str">
        <f t="shared" si="28"/>
        <v/>
      </c>
      <c r="AJ73" s="12" t="str">
        <f t="shared" si="30"/>
        <v/>
      </c>
    </row>
    <row r="74" spans="1:36" x14ac:dyDescent="0.25">
      <c r="A74" s="17">
        <f t="shared" si="31"/>
        <v>18</v>
      </c>
      <c r="B74" s="8" t="s">
        <v>44</v>
      </c>
      <c r="C74" s="4" t="s">
        <v>24</v>
      </c>
      <c r="D74" s="5" t="s">
        <v>0</v>
      </c>
      <c r="E74" s="5"/>
      <c r="F74" s="5" t="s">
        <v>1</v>
      </c>
      <c r="G74" s="5" t="s">
        <v>1</v>
      </c>
      <c r="H74" s="17" t="str">
        <f t="shared" si="25"/>
        <v>""</v>
      </c>
      <c r="I74" s="5" t="s">
        <v>46</v>
      </c>
      <c r="J74" s="5" t="s">
        <v>46</v>
      </c>
      <c r="K74" s="5" t="s">
        <v>46</v>
      </c>
      <c r="L74" s="5" t="s">
        <v>46</v>
      </c>
      <c r="M74" s="5" t="s">
        <v>22</v>
      </c>
      <c r="N74" s="8">
        <f t="shared" si="34"/>
        <v>5</v>
      </c>
      <c r="O74" s="5">
        <v>0</v>
      </c>
      <c r="P74" s="5">
        <v>0</v>
      </c>
      <c r="Q74" s="5" t="s">
        <v>23</v>
      </c>
      <c r="R74" s="5" t="s">
        <v>23</v>
      </c>
      <c r="S74" s="5" t="s">
        <v>23</v>
      </c>
      <c r="T74" s="5" t="s">
        <v>46</v>
      </c>
      <c r="U74" s="5" t="s">
        <v>46</v>
      </c>
      <c r="V74" s="5" t="s">
        <v>46</v>
      </c>
      <c r="W74" s="5">
        <v>0</v>
      </c>
      <c r="X74" s="10" t="s">
        <v>77</v>
      </c>
      <c r="Y74" s="10"/>
      <c r="Z74" s="10"/>
      <c r="AB74" s="2" t="str">
        <f t="shared" si="33"/>
        <v xml:space="preserve">/*18*/{" ","","","","",false,false,false,false,10.0,5,0,0,0.0,0.0,0.0,false,false,false,0},//Скорость, 50-100%. </v>
      </c>
      <c r="AD74" s="12" t="str">
        <f t="shared" si="29"/>
        <v/>
      </c>
      <c r="AE74" s="12" t="str">
        <f t="shared" si="26"/>
        <v/>
      </c>
      <c r="AH74" s="12" t="str">
        <f t="shared" si="27"/>
        <v/>
      </c>
      <c r="AI74" s="12" t="str">
        <f t="shared" si="28"/>
        <v/>
      </c>
      <c r="AJ74" s="12" t="str">
        <f t="shared" si="30"/>
        <v/>
      </c>
    </row>
    <row r="75" spans="1:36" x14ac:dyDescent="0.25">
      <c r="A75" s="17">
        <f t="shared" si="31"/>
        <v>19</v>
      </c>
      <c r="B75" s="8" t="s">
        <v>45</v>
      </c>
      <c r="C75" s="4" t="s">
        <v>24</v>
      </c>
      <c r="D75" s="5" t="s">
        <v>0</v>
      </c>
      <c r="E75" s="5"/>
      <c r="F75" s="5" t="s">
        <v>1</v>
      </c>
      <c r="G75" s="5" t="s">
        <v>1</v>
      </c>
      <c r="H75" s="17" t="str">
        <f t="shared" si="25"/>
        <v>""</v>
      </c>
      <c r="I75" s="5" t="s">
        <v>46</v>
      </c>
      <c r="J75" s="5" t="s">
        <v>46</v>
      </c>
      <c r="K75" s="5" t="s">
        <v>46</v>
      </c>
      <c r="L75" s="5" t="s">
        <v>46</v>
      </c>
      <c r="M75" s="5" t="s">
        <v>22</v>
      </c>
      <c r="N75" s="8">
        <f t="shared" si="34"/>
        <v>5</v>
      </c>
      <c r="O75" s="5">
        <v>0</v>
      </c>
      <c r="P75" s="5">
        <v>0</v>
      </c>
      <c r="Q75" s="5" t="s">
        <v>23</v>
      </c>
      <c r="R75" s="5" t="s">
        <v>23</v>
      </c>
      <c r="S75" s="5" t="s">
        <v>23</v>
      </c>
      <c r="T75" s="5" t="s">
        <v>46</v>
      </c>
      <c r="U75" s="5" t="s">
        <v>46</v>
      </c>
      <c r="V75" s="5" t="s">
        <v>46</v>
      </c>
      <c r="W75" s="5">
        <v>0</v>
      </c>
      <c r="X75" s="10" t="s">
        <v>77</v>
      </c>
      <c r="Y75" s="10"/>
      <c r="Z75" s="10"/>
      <c r="AB75" s="2" t="str">
        <f t="shared" si="33"/>
        <v xml:space="preserve">/*19*/{" ","","","","",false,false,false,false,10.0,5,0,0,0.0,0.0,0.0,false,false,false,0},//Скорость, 50-100%. </v>
      </c>
      <c r="AD75" s="12" t="str">
        <f t="shared" si="29"/>
        <v/>
      </c>
      <c r="AE75" s="12" t="str">
        <f t="shared" si="26"/>
        <v/>
      </c>
      <c r="AH75" s="12" t="str">
        <f t="shared" si="27"/>
        <v/>
      </c>
      <c r="AI75" s="12" t="str">
        <f t="shared" si="28"/>
        <v/>
      </c>
      <c r="AJ75" s="12" t="str">
        <f t="shared" si="30"/>
        <v/>
      </c>
    </row>
    <row r="76" spans="1:36" x14ac:dyDescent="0.25">
      <c r="AB76" s="3" t="s">
        <v>25</v>
      </c>
      <c r="AD76" s="12" t="str">
        <f>IF(X76="Да",CONCATENATE("float &amp;",SUBSTITUTE(Z76," ","")," = Screens[",$A$53,"][",A76,"].Param;// Ссылка. ",$Y$56,". ",Y76),"")</f>
        <v/>
      </c>
      <c r="AE76" s="12" t="str">
        <f>IF(X76="Да",CONCATENATE("float ",SUBSTITUTE(Z76," ","")," = Screens[",$A$53,"][",A76,"].Param;//",$Y$56,". ",Y76),"")</f>
        <v/>
      </c>
      <c r="AH76" s="12" t="str">
        <f>IF(X76="Да",CONCATENATE("Ref.",,SUBSTITUTE(Z76," ","")," = ",$AI$1,$B$53,SUBSTITUTE(E76," ",""),";//",$Y$56,". ",Y76),"")</f>
        <v/>
      </c>
      <c r="AI76" s="12" t="str">
        <f t="shared" si="28"/>
        <v/>
      </c>
      <c r="AJ76" s="12" t="str">
        <f>IF(X76="Да",CONCATENATE($AI$1,SUBSTITUTE(Z76," ","")," = ",M76,";//",$Y$56,". ",Y76),"")</f>
        <v/>
      </c>
    </row>
    <row r="77" spans="1:36" x14ac:dyDescent="0.25">
      <c r="A77" s="14">
        <f>A53+1</f>
        <v>3</v>
      </c>
      <c r="B77" s="12">
        <f>E80</f>
        <v>0</v>
      </c>
      <c r="D77" s="7" t="s">
        <v>57</v>
      </c>
      <c r="AB77" s="3" t="s">
        <v>51</v>
      </c>
      <c r="AI77" s="12" t="str">
        <f t="shared" ref="AI77" si="35">IF(X77="Да",CONCATENATE($AI$1,$B$53,SUBSTITUTE(E77," ","")," = Ref.",$B$53,SUBSTITUTE(E77," ",""),";//",$Y$56,Y77),"")</f>
        <v/>
      </c>
    </row>
    <row r="78" spans="1:36" ht="45" x14ac:dyDescent="0.25">
      <c r="A78" s="15" t="s">
        <v>78</v>
      </c>
      <c r="B78" s="18"/>
      <c r="C78" s="6" t="s">
        <v>25</v>
      </c>
      <c r="D78" s="6" t="s">
        <v>17</v>
      </c>
      <c r="E78" s="6" t="s">
        <v>18</v>
      </c>
      <c r="F78" s="6" t="s">
        <v>19</v>
      </c>
      <c r="G78" s="6" t="s">
        <v>20</v>
      </c>
      <c r="H78" s="6" t="s">
        <v>21</v>
      </c>
      <c r="I78" s="6" t="s">
        <v>2</v>
      </c>
      <c r="J78" s="6" t="s">
        <v>3</v>
      </c>
      <c r="K78" s="6" t="s">
        <v>4</v>
      </c>
      <c r="L78" s="6" t="s">
        <v>5</v>
      </c>
      <c r="M78" s="6" t="s">
        <v>6</v>
      </c>
      <c r="N78" s="6" t="s">
        <v>7</v>
      </c>
      <c r="O78" s="6" t="s">
        <v>8</v>
      </c>
      <c r="P78" s="6" t="s">
        <v>9</v>
      </c>
      <c r="Q78" s="6" t="s">
        <v>10</v>
      </c>
      <c r="R78" s="6" t="s">
        <v>11</v>
      </c>
      <c r="S78" s="6" t="s">
        <v>12</v>
      </c>
      <c r="T78" s="6" t="s">
        <v>13</v>
      </c>
      <c r="U78" s="6" t="s">
        <v>14</v>
      </c>
      <c r="V78" s="6" t="s">
        <v>15</v>
      </c>
      <c r="W78" s="6" t="s">
        <v>16</v>
      </c>
      <c r="X78" s="6" t="s">
        <v>76</v>
      </c>
      <c r="Y78" s="6" t="s">
        <v>80</v>
      </c>
      <c r="Z78" s="6" t="s">
        <v>97</v>
      </c>
      <c r="AA78" s="1"/>
      <c r="AB78" s="2" t="str">
        <f>CONCATENATE(D77," - ",E80)</f>
        <v xml:space="preserve">//Экран 3 - </v>
      </c>
      <c r="AD78" s="19" t="s">
        <v>81</v>
      </c>
      <c r="AE78" s="19" t="s">
        <v>82</v>
      </c>
      <c r="AF78" s="5"/>
      <c r="AG78" s="5"/>
      <c r="AH78" s="19" t="s">
        <v>83</v>
      </c>
      <c r="AI78" s="19" t="s">
        <v>84</v>
      </c>
      <c r="AJ78" s="19" t="s">
        <v>85</v>
      </c>
    </row>
    <row r="79" spans="1:36" x14ac:dyDescent="0.25">
      <c r="A79" s="16"/>
      <c r="B79" s="13"/>
      <c r="C79" s="4" t="s">
        <v>24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11"/>
      <c r="Y79" s="11"/>
      <c r="Z79" s="11"/>
      <c r="AA79" s="1"/>
      <c r="AB79" s="3" t="str">
        <f>C79</f>
        <v>{</v>
      </c>
    </row>
    <row r="80" spans="1:36" x14ac:dyDescent="0.25">
      <c r="A80" s="17">
        <v>0</v>
      </c>
      <c r="B80" s="8" t="s">
        <v>27</v>
      </c>
      <c r="C80" s="4" t="s">
        <v>24</v>
      </c>
      <c r="D80" s="5" t="s">
        <v>0</v>
      </c>
      <c r="E80" s="5"/>
      <c r="F80" s="5" t="s">
        <v>1</v>
      </c>
      <c r="G80" s="5" t="s">
        <v>1</v>
      </c>
      <c r="H80" s="5" t="s">
        <v>1</v>
      </c>
      <c r="I80" s="5" t="s">
        <v>46</v>
      </c>
      <c r="J80" s="5" t="s">
        <v>46</v>
      </c>
      <c r="K80" s="5" t="s">
        <v>46</v>
      </c>
      <c r="L80" s="5" t="s">
        <v>46</v>
      </c>
      <c r="M80" s="5" t="s">
        <v>48</v>
      </c>
      <c r="N80" s="8">
        <v>8</v>
      </c>
      <c r="O80" s="5" t="s">
        <v>86</v>
      </c>
      <c r="P80" s="5" t="s">
        <v>86</v>
      </c>
      <c r="Q80" s="5" t="s">
        <v>117</v>
      </c>
      <c r="R80" s="5" t="s">
        <v>101</v>
      </c>
      <c r="S80" s="5" t="s">
        <v>90</v>
      </c>
      <c r="T80" s="5" t="s">
        <v>46</v>
      </c>
      <c r="U80" s="5" t="s">
        <v>46</v>
      </c>
      <c r="V80" s="5" t="s">
        <v>46</v>
      </c>
      <c r="W80" s="5">
        <v>0</v>
      </c>
      <c r="X80" s="10" t="s">
        <v>77</v>
      </c>
      <c r="Y80" s="5"/>
      <c r="Z80" s="10"/>
      <c r="AB80" s="2" t="str">
        <f>CONCATENATE(B80,C80,D80,",""",E80,""",",F80,",",G80,",",H80,",",I80,",",J80,",",K80,",",L80,",",M80,",",N80,",",O80,",",P80,",",Q80,",",R80,",",S80,",",T80,",",U80,",",V80,",",W80,"},//",Y80)</f>
        <v>/*0*/{" ","","","","",false,false,false,false,100.0,8,0,0,400.0,50.0,1.0,false,false,false,0},//</v>
      </c>
      <c r="AD80" s="12" t="str">
        <f t="shared" ref="AD80:AD98" si="36">IF(X80="Да",IF(T80="false",CONCATENATE("float &amp;",SUBSTITUTE(Z80," ","")," = Screens[",$A$77,"][",A80,"].Param;// Ссылка. ",$Y$80,". ",Y80),CONCATENATE("bool &amp;",SUBSTITUTE(Z80," ","")," = Screens[",$A$77,"][",A80,"].BoolParam;// Ссылка. ",$Y$80,". ",Y80)),"")</f>
        <v/>
      </c>
      <c r="AE80" s="12" t="str">
        <f t="shared" ref="AE80:AE99" si="37">IF(X80="Да",IF(T80="false",CONCATENATE("float ",SUBSTITUTE(Z80," ",""),"; //",$Y$80,". ",Y80),CONCATENATE("bool ",SUBSTITUTE(Z80," ",""),"; //",$Y$80,". ",Y80)),"")</f>
        <v/>
      </c>
      <c r="AH80" s="12" t="str">
        <f t="shared" ref="AH80:AH98" si="38">IF(X80="Да",CONCATENATE("Ref.",,SUBSTITUTE(Z80," ","")," = ",$AI$1,SUBSTITUTE(Z80," ",""),";//",$Y$80,". ",Y80),"")</f>
        <v/>
      </c>
      <c r="AI80" s="12" t="str">
        <f t="shared" ref="AI80:AI99" si="39">IF(X80="Да",CONCATENATE($AI$1,SUBSTITUTE(Z80," ","")," = Ref.",SUBSTITUTE(Z80," ",""),";//",$Y$80,". ",Y80),"")</f>
        <v/>
      </c>
      <c r="AJ80" s="12" t="str">
        <f t="shared" ref="AJ80:AJ98" si="40">IF(X80="Да",IF(T80="false",CONCATENATE($AI$1,SUBSTITUTE(Z80," ","")," = ",M80,";//",$Y$80,". ",Y80),CONCATENATE($AI$1,SUBSTITUTE(Z80," ","")," = ",U80,";//",$Y$80,". ",Y80)),"")</f>
        <v/>
      </c>
    </row>
    <row r="81" spans="1:36" x14ac:dyDescent="0.25">
      <c r="A81" s="17">
        <f>A80+1</f>
        <v>1</v>
      </c>
      <c r="B81" s="8" t="s">
        <v>26</v>
      </c>
      <c r="C81" s="4" t="s">
        <v>24</v>
      </c>
      <c r="D81" s="5" t="s">
        <v>0</v>
      </c>
      <c r="E81" s="5"/>
      <c r="F81" s="5" t="s">
        <v>1</v>
      </c>
      <c r="G81" s="5" t="s">
        <v>1</v>
      </c>
      <c r="H81" s="5" t="s">
        <v>1</v>
      </c>
      <c r="I81" s="5" t="s">
        <v>46</v>
      </c>
      <c r="J81" s="5" t="s">
        <v>46</v>
      </c>
      <c r="K81" s="5" t="s">
        <v>46</v>
      </c>
      <c r="L81" s="5" t="s">
        <v>46</v>
      </c>
      <c r="M81" s="5" t="s">
        <v>48</v>
      </c>
      <c r="N81" s="8">
        <f>N80</f>
        <v>8</v>
      </c>
      <c r="O81" s="5" t="s">
        <v>87</v>
      </c>
      <c r="P81" s="5">
        <v>0</v>
      </c>
      <c r="Q81" s="5" t="s">
        <v>23</v>
      </c>
      <c r="R81" s="5" t="s">
        <v>23</v>
      </c>
      <c r="S81" s="5" t="s">
        <v>23</v>
      </c>
      <c r="T81" s="5" t="s">
        <v>46</v>
      </c>
      <c r="U81" s="5" t="s">
        <v>46</v>
      </c>
      <c r="V81" s="5" t="s">
        <v>46</v>
      </c>
      <c r="W81" s="5">
        <v>0</v>
      </c>
      <c r="X81" s="10" t="s">
        <v>77</v>
      </c>
      <c r="Y81" s="5"/>
      <c r="Z81" s="10"/>
      <c r="AB81" s="2" t="str">
        <f>CONCATENATE(B81,C81,D81,",""",E81,""",",F81,",",G81,",",H81,",",I81,",",J81,",",K81,",",L81,",",M81,",",N81,",",O81,",",P81,",",Q81,",",R81,",",S81,",",T81,",",U81,",",V81,",",W81,"},//",Y$80,". ",Y81)</f>
        <v xml:space="preserve">/*1*/{" ","","","","",false,false,false,false,100.0,8,1,0,0.0,0.0,0.0,false,false,false,0},//. </v>
      </c>
      <c r="AD81" s="12" t="str">
        <f t="shared" si="36"/>
        <v/>
      </c>
      <c r="AE81" s="12" t="str">
        <f t="shared" si="37"/>
        <v/>
      </c>
      <c r="AH81" s="12" t="str">
        <f t="shared" si="38"/>
        <v/>
      </c>
      <c r="AI81" s="12" t="str">
        <f t="shared" si="39"/>
        <v/>
      </c>
      <c r="AJ81" s="12" t="str">
        <f t="shared" si="40"/>
        <v/>
      </c>
    </row>
    <row r="82" spans="1:36" x14ac:dyDescent="0.25">
      <c r="A82" s="17">
        <f t="shared" ref="A82:A99" si="41">A81+1</f>
        <v>2</v>
      </c>
      <c r="B82" s="8" t="s">
        <v>28</v>
      </c>
      <c r="C82" s="4" t="s">
        <v>24</v>
      </c>
      <c r="D82" s="5" t="s">
        <v>0</v>
      </c>
      <c r="E82" s="8"/>
      <c r="F82" s="5" t="s">
        <v>1</v>
      </c>
      <c r="G82" s="5" t="s">
        <v>1</v>
      </c>
      <c r="H82" s="5" t="s">
        <v>1</v>
      </c>
      <c r="I82" s="5" t="s">
        <v>46</v>
      </c>
      <c r="J82" s="5" t="s">
        <v>46</v>
      </c>
      <c r="K82" s="5" t="s">
        <v>46</v>
      </c>
      <c r="L82" s="5" t="s">
        <v>46</v>
      </c>
      <c r="M82" s="5" t="s">
        <v>103</v>
      </c>
      <c r="N82" s="8">
        <f t="shared" ref="N82" si="42">N81</f>
        <v>8</v>
      </c>
      <c r="O82" s="5">
        <v>0</v>
      </c>
      <c r="P82" s="5">
        <v>0</v>
      </c>
      <c r="Q82" s="5" t="s">
        <v>110</v>
      </c>
      <c r="R82" s="5" t="s">
        <v>90</v>
      </c>
      <c r="S82" s="5" t="s">
        <v>111</v>
      </c>
      <c r="T82" s="5" t="s">
        <v>46</v>
      </c>
      <c r="U82" s="5" t="s">
        <v>46</v>
      </c>
      <c r="V82" s="5" t="s">
        <v>46</v>
      </c>
      <c r="W82" s="5">
        <v>0</v>
      </c>
      <c r="X82" s="10" t="s">
        <v>77</v>
      </c>
      <c r="Y82" s="8"/>
      <c r="Z82" s="20"/>
      <c r="AB82" s="2" t="str">
        <f t="shared" ref="AB82:AB99" si="43">CONCATENATE(B82,C82,D82,",""",E82,""",",F82,",",G82,",",H82,",",I82,",",J82,",",K82,",",L82,",",M82,",",N82,",",O82,",",P82,",",Q82,",",R82,",",S82,",",T82,",",U82,",",V82,",",W82,"},//",Y$80,". ",Y82)</f>
        <v xml:space="preserve">/*2*/{" ","","","","",false,false,false,false,3.0,8,0,0,15.0,1.0,0.5,false,false,false,0},//. </v>
      </c>
      <c r="AD82" s="12" t="str">
        <f t="shared" si="36"/>
        <v/>
      </c>
      <c r="AE82" s="12" t="str">
        <f t="shared" si="37"/>
        <v/>
      </c>
      <c r="AH82" s="12" t="str">
        <f t="shared" si="38"/>
        <v/>
      </c>
      <c r="AI82" s="12" t="str">
        <f t="shared" si="39"/>
        <v/>
      </c>
      <c r="AJ82" s="12" t="str">
        <f t="shared" si="40"/>
        <v/>
      </c>
    </row>
    <row r="83" spans="1:36" x14ac:dyDescent="0.25">
      <c r="A83" s="17">
        <f t="shared" si="41"/>
        <v>3</v>
      </c>
      <c r="B83" s="8" t="s">
        <v>29</v>
      </c>
      <c r="C83" s="4" t="s">
        <v>24</v>
      </c>
      <c r="D83" s="5" t="s">
        <v>0</v>
      </c>
      <c r="E83" s="5"/>
      <c r="F83" s="5" t="s">
        <v>1</v>
      </c>
      <c r="G83" s="5" t="s">
        <v>1</v>
      </c>
      <c r="H83" s="5" t="s">
        <v>1</v>
      </c>
      <c r="I83" s="5" t="s">
        <v>46</v>
      </c>
      <c r="J83" s="5" t="s">
        <v>46</v>
      </c>
      <c r="K83" s="5" t="s">
        <v>46</v>
      </c>
      <c r="L83" s="5" t="s">
        <v>46</v>
      </c>
      <c r="M83" s="5" t="s">
        <v>48</v>
      </c>
      <c r="N83" s="8">
        <f t="shared" ref="N83:N90" si="44">N82</f>
        <v>8</v>
      </c>
      <c r="O83" s="5">
        <v>0</v>
      </c>
      <c r="P83" s="5">
        <v>0</v>
      </c>
      <c r="Q83" s="5" t="s">
        <v>48</v>
      </c>
      <c r="R83" s="5" t="s">
        <v>101</v>
      </c>
      <c r="S83" s="5" t="s">
        <v>120</v>
      </c>
      <c r="T83" s="5" t="s">
        <v>46</v>
      </c>
      <c r="U83" s="5" t="s">
        <v>46</v>
      </c>
      <c r="V83" s="5" t="s">
        <v>46</v>
      </c>
      <c r="W83" s="5">
        <v>0</v>
      </c>
      <c r="X83" s="10" t="s">
        <v>77</v>
      </c>
      <c r="Y83" s="5"/>
      <c r="Z83" s="10"/>
      <c r="AB83" s="2" t="str">
        <f t="shared" si="43"/>
        <v xml:space="preserve">/*3*/{" ","","","","",false,false,false,false,100.0,8,0,0,100.0,50.0,5.0,false,false,false,0},//. </v>
      </c>
      <c r="AD83" s="12" t="str">
        <f t="shared" si="36"/>
        <v/>
      </c>
      <c r="AE83" s="12" t="str">
        <f t="shared" si="37"/>
        <v/>
      </c>
      <c r="AH83" s="12" t="str">
        <f t="shared" si="38"/>
        <v/>
      </c>
      <c r="AI83" s="12" t="str">
        <f t="shared" si="39"/>
        <v/>
      </c>
      <c r="AJ83" s="12" t="str">
        <f t="shared" si="40"/>
        <v/>
      </c>
    </row>
    <row r="84" spans="1:36" x14ac:dyDescent="0.25">
      <c r="A84" s="17">
        <f t="shared" si="41"/>
        <v>4</v>
      </c>
      <c r="B84" s="8" t="s">
        <v>30</v>
      </c>
      <c r="C84" s="4" t="s">
        <v>24</v>
      </c>
      <c r="D84" s="5" t="s">
        <v>0</v>
      </c>
      <c r="E84" s="5"/>
      <c r="F84" s="5" t="s">
        <v>1</v>
      </c>
      <c r="G84" s="5" t="s">
        <v>1</v>
      </c>
      <c r="H84" s="5" t="s">
        <v>1</v>
      </c>
      <c r="I84" s="5" t="s">
        <v>46</v>
      </c>
      <c r="J84" s="5" t="s">
        <v>46</v>
      </c>
      <c r="K84" s="5" t="s">
        <v>46</v>
      </c>
      <c r="L84" s="5" t="s">
        <v>46</v>
      </c>
      <c r="M84" s="5" t="s">
        <v>48</v>
      </c>
      <c r="N84" s="8">
        <f t="shared" si="44"/>
        <v>8</v>
      </c>
      <c r="O84" s="5">
        <v>0</v>
      </c>
      <c r="P84" s="5">
        <v>0</v>
      </c>
      <c r="Q84" s="5" t="s">
        <v>48</v>
      </c>
      <c r="R84" s="5" t="s">
        <v>101</v>
      </c>
      <c r="S84" s="5" t="s">
        <v>120</v>
      </c>
      <c r="T84" s="5" t="s">
        <v>46</v>
      </c>
      <c r="U84" s="5" t="s">
        <v>46</v>
      </c>
      <c r="V84" s="5" t="s">
        <v>46</v>
      </c>
      <c r="W84" s="5">
        <v>0</v>
      </c>
      <c r="X84" s="10" t="s">
        <v>77</v>
      </c>
      <c r="Y84" s="5"/>
      <c r="Z84" s="10"/>
      <c r="AB84" s="2" t="str">
        <f t="shared" si="43"/>
        <v xml:space="preserve">/*4*/{" ","","","","",false,false,false,false,100.0,8,0,0,100.0,50.0,5.0,false,false,false,0},//. </v>
      </c>
      <c r="AD84" s="12" t="str">
        <f t="shared" si="36"/>
        <v/>
      </c>
      <c r="AE84" s="12" t="str">
        <f t="shared" si="37"/>
        <v/>
      </c>
      <c r="AH84" s="12" t="str">
        <f t="shared" si="38"/>
        <v/>
      </c>
      <c r="AI84" s="12" t="str">
        <f t="shared" si="39"/>
        <v/>
      </c>
      <c r="AJ84" s="12" t="str">
        <f t="shared" si="40"/>
        <v/>
      </c>
    </row>
    <row r="85" spans="1:36" x14ac:dyDescent="0.25">
      <c r="A85" s="17">
        <f t="shared" si="41"/>
        <v>5</v>
      </c>
      <c r="B85" s="8" t="s">
        <v>31</v>
      </c>
      <c r="C85" s="4" t="s">
        <v>24</v>
      </c>
      <c r="D85" s="5" t="s">
        <v>0</v>
      </c>
      <c r="E85" s="5"/>
      <c r="F85" s="5" t="s">
        <v>1</v>
      </c>
      <c r="G85" s="5" t="s">
        <v>1</v>
      </c>
      <c r="H85" s="5" t="s">
        <v>1</v>
      </c>
      <c r="I85" s="5" t="s">
        <v>46</v>
      </c>
      <c r="J85" s="5" t="s">
        <v>46</v>
      </c>
      <c r="K85" s="5" t="s">
        <v>46</v>
      </c>
      <c r="L85" s="5" t="s">
        <v>46</v>
      </c>
      <c r="M85" s="5" t="s">
        <v>22</v>
      </c>
      <c r="N85" s="8">
        <f t="shared" si="44"/>
        <v>8</v>
      </c>
      <c r="O85" s="5">
        <v>0</v>
      </c>
      <c r="P85" s="5">
        <v>0</v>
      </c>
      <c r="Q85" s="5" t="s">
        <v>22</v>
      </c>
      <c r="R85" s="5" t="s">
        <v>90</v>
      </c>
      <c r="S85" s="5" t="s">
        <v>90</v>
      </c>
      <c r="T85" s="5" t="s">
        <v>46</v>
      </c>
      <c r="U85" s="5" t="s">
        <v>46</v>
      </c>
      <c r="V85" s="5" t="s">
        <v>46</v>
      </c>
      <c r="W85" s="5">
        <v>0</v>
      </c>
      <c r="X85" s="10" t="s">
        <v>77</v>
      </c>
      <c r="Y85" s="5"/>
      <c r="Z85" s="10"/>
      <c r="AB85" s="2" t="str">
        <f t="shared" si="43"/>
        <v xml:space="preserve">/*5*/{" ","","","","",false,false,false,false,10.0,8,0,0,10.0,1.0,1.0,false,false,false,0},//. </v>
      </c>
      <c r="AD85" s="12" t="str">
        <f t="shared" si="36"/>
        <v/>
      </c>
      <c r="AE85" s="12" t="str">
        <f t="shared" si="37"/>
        <v/>
      </c>
      <c r="AH85" s="12" t="str">
        <f t="shared" si="38"/>
        <v/>
      </c>
      <c r="AI85" s="12" t="str">
        <f t="shared" si="39"/>
        <v/>
      </c>
      <c r="AJ85" s="12" t="str">
        <f t="shared" si="40"/>
        <v/>
      </c>
    </row>
    <row r="86" spans="1:36" x14ac:dyDescent="0.25">
      <c r="A86" s="17">
        <f t="shared" si="41"/>
        <v>6</v>
      </c>
      <c r="B86" s="8" t="s">
        <v>32</v>
      </c>
      <c r="C86" s="4" t="s">
        <v>24</v>
      </c>
      <c r="D86" s="5" t="s">
        <v>0</v>
      </c>
      <c r="E86" s="5"/>
      <c r="F86" s="5" t="s">
        <v>1</v>
      </c>
      <c r="G86" s="5" t="s">
        <v>1</v>
      </c>
      <c r="H86" s="5" t="s">
        <v>1</v>
      </c>
      <c r="I86" s="5" t="s">
        <v>46</v>
      </c>
      <c r="J86" s="5" t="s">
        <v>46</v>
      </c>
      <c r="K86" s="5" t="s">
        <v>46</v>
      </c>
      <c r="L86" s="5" t="s">
        <v>46</v>
      </c>
      <c r="M86" s="5" t="s">
        <v>22</v>
      </c>
      <c r="N86" s="8">
        <f t="shared" si="44"/>
        <v>8</v>
      </c>
      <c r="O86" s="5">
        <v>0</v>
      </c>
      <c r="P86" s="5">
        <v>0</v>
      </c>
      <c r="Q86" s="5" t="s">
        <v>23</v>
      </c>
      <c r="R86" s="5" t="s">
        <v>23</v>
      </c>
      <c r="S86" s="5" t="s">
        <v>23</v>
      </c>
      <c r="T86" s="5" t="s">
        <v>47</v>
      </c>
      <c r="U86" s="5" t="s">
        <v>47</v>
      </c>
      <c r="V86" s="5" t="s">
        <v>46</v>
      </c>
      <c r="W86" s="5">
        <v>0</v>
      </c>
      <c r="X86" s="10" t="s">
        <v>77</v>
      </c>
      <c r="Y86" s="5"/>
      <c r="Z86" s="10"/>
      <c r="AB86" s="2" t="str">
        <f t="shared" si="43"/>
        <v xml:space="preserve">/*6*/{" ","","","","",false,false,false,false,10.0,8,0,0,0.0,0.0,0.0,true,true,false,0},//. </v>
      </c>
      <c r="AD86" s="12" t="str">
        <f t="shared" si="36"/>
        <v/>
      </c>
      <c r="AE86" s="12" t="str">
        <f t="shared" si="37"/>
        <v/>
      </c>
      <c r="AH86" s="12" t="str">
        <f t="shared" si="38"/>
        <v/>
      </c>
      <c r="AI86" s="12" t="str">
        <f t="shared" si="39"/>
        <v/>
      </c>
      <c r="AJ86" s="12" t="str">
        <f t="shared" si="40"/>
        <v/>
      </c>
    </row>
    <row r="87" spans="1:36" x14ac:dyDescent="0.25">
      <c r="A87" s="17">
        <f t="shared" si="41"/>
        <v>7</v>
      </c>
      <c r="B87" s="8" t="s">
        <v>33</v>
      </c>
      <c r="C87" s="4" t="s">
        <v>24</v>
      </c>
      <c r="D87" s="5" t="s">
        <v>0</v>
      </c>
      <c r="E87" s="5"/>
      <c r="F87" s="5" t="s">
        <v>1</v>
      </c>
      <c r="G87" s="5" t="s">
        <v>1</v>
      </c>
      <c r="H87" s="5" t="s">
        <v>1</v>
      </c>
      <c r="I87" s="5" t="s">
        <v>46</v>
      </c>
      <c r="J87" s="5" t="s">
        <v>46</v>
      </c>
      <c r="K87" s="5" t="s">
        <v>46</v>
      </c>
      <c r="L87" s="5" t="s">
        <v>46</v>
      </c>
      <c r="M87" s="5" t="s">
        <v>22</v>
      </c>
      <c r="N87" s="8">
        <f t="shared" si="44"/>
        <v>8</v>
      </c>
      <c r="O87" s="5">
        <v>0</v>
      </c>
      <c r="P87" s="5">
        <v>0</v>
      </c>
      <c r="Q87" s="5" t="s">
        <v>23</v>
      </c>
      <c r="R87" s="5" t="s">
        <v>23</v>
      </c>
      <c r="S87" s="5" t="s">
        <v>23</v>
      </c>
      <c r="T87" s="5" t="s">
        <v>46</v>
      </c>
      <c r="U87" s="5" t="s">
        <v>46</v>
      </c>
      <c r="V87" s="5" t="s">
        <v>46</v>
      </c>
      <c r="W87" s="5">
        <v>0</v>
      </c>
      <c r="X87" s="10" t="s">
        <v>77</v>
      </c>
      <c r="Y87" s="5"/>
      <c r="Z87" s="10"/>
      <c r="AB87" s="2" t="str">
        <f t="shared" si="43"/>
        <v xml:space="preserve">/*7*/{" ","","","","",false,false,false,false,10.0,8,0,0,0.0,0.0,0.0,false,false,false,0},//. </v>
      </c>
      <c r="AD87" s="12" t="str">
        <f t="shared" si="36"/>
        <v/>
      </c>
      <c r="AE87" s="12" t="str">
        <f t="shared" si="37"/>
        <v/>
      </c>
      <c r="AH87" s="12" t="str">
        <f t="shared" si="38"/>
        <v/>
      </c>
      <c r="AI87" s="12" t="str">
        <f t="shared" si="39"/>
        <v/>
      </c>
      <c r="AJ87" s="12" t="str">
        <f t="shared" si="40"/>
        <v/>
      </c>
    </row>
    <row r="88" spans="1:36" x14ac:dyDescent="0.25">
      <c r="A88" s="17">
        <f t="shared" si="41"/>
        <v>8</v>
      </c>
      <c r="B88" s="8" t="s">
        <v>34</v>
      </c>
      <c r="C88" s="4" t="s">
        <v>24</v>
      </c>
      <c r="D88" s="5" t="s">
        <v>0</v>
      </c>
      <c r="E88" s="5"/>
      <c r="F88" s="5" t="s">
        <v>1</v>
      </c>
      <c r="G88" s="5" t="s">
        <v>1</v>
      </c>
      <c r="H88" s="5" t="s">
        <v>1</v>
      </c>
      <c r="I88" s="5" t="s">
        <v>46</v>
      </c>
      <c r="J88" s="5" t="s">
        <v>46</v>
      </c>
      <c r="K88" s="5" t="s">
        <v>46</v>
      </c>
      <c r="L88" s="5" t="s">
        <v>46</v>
      </c>
      <c r="M88" s="5" t="s">
        <v>22</v>
      </c>
      <c r="N88" s="8">
        <f t="shared" si="44"/>
        <v>8</v>
      </c>
      <c r="O88" s="5">
        <v>0</v>
      </c>
      <c r="P88" s="5">
        <v>0</v>
      </c>
      <c r="Q88" s="5" t="s">
        <v>23</v>
      </c>
      <c r="R88" s="5" t="s">
        <v>23</v>
      </c>
      <c r="S88" s="5" t="s">
        <v>23</v>
      </c>
      <c r="T88" s="5" t="s">
        <v>46</v>
      </c>
      <c r="U88" s="5" t="s">
        <v>46</v>
      </c>
      <c r="V88" s="5" t="s">
        <v>46</v>
      </c>
      <c r="W88" s="5">
        <v>0</v>
      </c>
      <c r="X88" s="10" t="s">
        <v>77</v>
      </c>
      <c r="Y88" s="5"/>
      <c r="Z88" s="10"/>
      <c r="AB88" s="2" t="str">
        <f t="shared" si="43"/>
        <v xml:space="preserve">/*8*/{" ","","","","",false,false,false,false,10.0,8,0,0,0.0,0.0,0.0,false,false,false,0},//. </v>
      </c>
      <c r="AD88" s="12" t="str">
        <f t="shared" si="36"/>
        <v/>
      </c>
      <c r="AE88" s="12" t="str">
        <f t="shared" si="37"/>
        <v/>
      </c>
      <c r="AH88" s="12" t="str">
        <f t="shared" si="38"/>
        <v/>
      </c>
      <c r="AI88" s="12" t="str">
        <f t="shared" si="39"/>
        <v/>
      </c>
      <c r="AJ88" s="12" t="str">
        <f t="shared" si="40"/>
        <v/>
      </c>
    </row>
    <row r="89" spans="1:36" x14ac:dyDescent="0.25">
      <c r="A89" s="17">
        <f t="shared" si="41"/>
        <v>9</v>
      </c>
      <c r="B89" s="8" t="s">
        <v>35</v>
      </c>
      <c r="C89" s="4" t="s">
        <v>24</v>
      </c>
      <c r="D89" s="5" t="s">
        <v>0</v>
      </c>
      <c r="E89" s="5"/>
      <c r="F89" s="5" t="s">
        <v>1</v>
      </c>
      <c r="G89" s="5" t="s">
        <v>1</v>
      </c>
      <c r="H89" s="17" t="str">
        <f t="shared" ref="H80:H99" si="45">IF(AND(I89="true",J89="false"),""" ""","""""")</f>
        <v>""</v>
      </c>
      <c r="I89" s="5" t="s">
        <v>46</v>
      </c>
      <c r="J89" s="5" t="s">
        <v>46</v>
      </c>
      <c r="K89" s="5" t="s">
        <v>46</v>
      </c>
      <c r="L89" s="5" t="s">
        <v>46</v>
      </c>
      <c r="M89" s="5" t="s">
        <v>22</v>
      </c>
      <c r="N89" s="8">
        <f t="shared" si="44"/>
        <v>8</v>
      </c>
      <c r="O89" s="5">
        <v>0</v>
      </c>
      <c r="P89" s="5">
        <v>0</v>
      </c>
      <c r="Q89" s="5" t="s">
        <v>23</v>
      </c>
      <c r="R89" s="5" t="s">
        <v>23</v>
      </c>
      <c r="S89" s="5" t="s">
        <v>23</v>
      </c>
      <c r="T89" s="5" t="s">
        <v>46</v>
      </c>
      <c r="U89" s="5" t="s">
        <v>46</v>
      </c>
      <c r="V89" s="5" t="s">
        <v>46</v>
      </c>
      <c r="W89" s="5">
        <v>0</v>
      </c>
      <c r="X89" s="10" t="s">
        <v>77</v>
      </c>
      <c r="Y89" s="5"/>
      <c r="Z89" s="10"/>
      <c r="AB89" s="2" t="str">
        <f t="shared" si="43"/>
        <v xml:space="preserve">/*9*/{" ","","","","",false,false,false,false,10.0,8,0,0,0.0,0.0,0.0,false,false,false,0},//. </v>
      </c>
      <c r="AD89" s="12" t="str">
        <f t="shared" si="36"/>
        <v/>
      </c>
      <c r="AE89" s="12" t="str">
        <f t="shared" si="37"/>
        <v/>
      </c>
      <c r="AH89" s="12" t="str">
        <f t="shared" si="38"/>
        <v/>
      </c>
      <c r="AI89" s="12" t="str">
        <f t="shared" si="39"/>
        <v/>
      </c>
      <c r="AJ89" s="12" t="str">
        <f t="shared" si="40"/>
        <v/>
      </c>
    </row>
    <row r="90" spans="1:36" x14ac:dyDescent="0.25">
      <c r="A90" s="17">
        <f t="shared" si="41"/>
        <v>10</v>
      </c>
      <c r="B90" s="8" t="s">
        <v>36</v>
      </c>
      <c r="C90" s="4" t="s">
        <v>24</v>
      </c>
      <c r="D90" s="5" t="s">
        <v>0</v>
      </c>
      <c r="E90" s="5"/>
      <c r="F90" s="5" t="s">
        <v>1</v>
      </c>
      <c r="G90" s="5" t="s">
        <v>1</v>
      </c>
      <c r="H90" s="17" t="str">
        <f t="shared" si="45"/>
        <v>""</v>
      </c>
      <c r="I90" s="5" t="s">
        <v>46</v>
      </c>
      <c r="J90" s="5" t="s">
        <v>46</v>
      </c>
      <c r="K90" s="5" t="s">
        <v>46</v>
      </c>
      <c r="L90" s="5" t="s">
        <v>46</v>
      </c>
      <c r="M90" s="5" t="s">
        <v>22</v>
      </c>
      <c r="N90" s="8">
        <f t="shared" si="44"/>
        <v>8</v>
      </c>
      <c r="O90" s="5">
        <v>0</v>
      </c>
      <c r="P90" s="5">
        <v>0</v>
      </c>
      <c r="Q90" s="5" t="s">
        <v>23</v>
      </c>
      <c r="R90" s="5" t="s">
        <v>23</v>
      </c>
      <c r="S90" s="5" t="s">
        <v>23</v>
      </c>
      <c r="T90" s="5" t="s">
        <v>46</v>
      </c>
      <c r="U90" s="5" t="s">
        <v>46</v>
      </c>
      <c r="V90" s="5" t="s">
        <v>46</v>
      </c>
      <c r="W90" s="5">
        <v>0</v>
      </c>
      <c r="X90" s="10" t="s">
        <v>77</v>
      </c>
      <c r="Y90" s="5"/>
      <c r="Z90" s="10"/>
      <c r="AB90" s="2" t="str">
        <f t="shared" si="43"/>
        <v xml:space="preserve">/*10*/{" ","","","","",false,false,false,false,10.0,8,0,0,0.0,0.0,0.0,false,false,false,0},//. </v>
      </c>
      <c r="AD90" s="12" t="str">
        <f t="shared" si="36"/>
        <v/>
      </c>
      <c r="AE90" s="12" t="str">
        <f t="shared" si="37"/>
        <v/>
      </c>
      <c r="AH90" s="12" t="str">
        <f t="shared" si="38"/>
        <v/>
      </c>
      <c r="AI90" s="12" t="str">
        <f t="shared" si="39"/>
        <v/>
      </c>
      <c r="AJ90" s="12" t="str">
        <f t="shared" si="40"/>
        <v/>
      </c>
    </row>
    <row r="91" spans="1:36" x14ac:dyDescent="0.25">
      <c r="A91" s="17">
        <f t="shared" si="41"/>
        <v>11</v>
      </c>
      <c r="B91" s="8" t="s">
        <v>37</v>
      </c>
      <c r="C91" s="4" t="s">
        <v>24</v>
      </c>
      <c r="D91" s="5" t="s">
        <v>0</v>
      </c>
      <c r="E91" s="5"/>
      <c r="F91" s="5" t="s">
        <v>1</v>
      </c>
      <c r="G91" s="5" t="s">
        <v>1</v>
      </c>
      <c r="H91" s="17" t="str">
        <f t="shared" si="45"/>
        <v>""</v>
      </c>
      <c r="I91" s="5" t="s">
        <v>46</v>
      </c>
      <c r="J91" s="5" t="s">
        <v>46</v>
      </c>
      <c r="K91" s="5" t="s">
        <v>46</v>
      </c>
      <c r="L91" s="5" t="s">
        <v>46</v>
      </c>
      <c r="M91" s="5" t="s">
        <v>22</v>
      </c>
      <c r="N91" s="8">
        <f t="shared" ref="N91:N99" si="46">N90</f>
        <v>8</v>
      </c>
      <c r="O91" s="5">
        <v>0</v>
      </c>
      <c r="P91" s="5">
        <v>0</v>
      </c>
      <c r="Q91" s="5" t="s">
        <v>23</v>
      </c>
      <c r="R91" s="5" t="s">
        <v>23</v>
      </c>
      <c r="S91" s="5" t="s">
        <v>23</v>
      </c>
      <c r="T91" s="5" t="s">
        <v>46</v>
      </c>
      <c r="U91" s="5" t="s">
        <v>46</v>
      </c>
      <c r="V91" s="5" t="s">
        <v>46</v>
      </c>
      <c r="W91" s="5">
        <v>0</v>
      </c>
      <c r="X91" s="10" t="s">
        <v>77</v>
      </c>
      <c r="Y91" s="10"/>
      <c r="Z91" s="10"/>
      <c r="AB91" s="2" t="str">
        <f t="shared" si="43"/>
        <v xml:space="preserve">/*11*/{" ","","","","",false,false,false,false,10.0,8,0,0,0.0,0.0,0.0,false,false,false,0},//. </v>
      </c>
      <c r="AD91" s="12" t="str">
        <f t="shared" si="36"/>
        <v/>
      </c>
      <c r="AE91" s="12" t="str">
        <f t="shared" si="37"/>
        <v/>
      </c>
      <c r="AH91" s="12" t="str">
        <f t="shared" si="38"/>
        <v/>
      </c>
      <c r="AI91" s="12" t="str">
        <f t="shared" si="39"/>
        <v/>
      </c>
      <c r="AJ91" s="12" t="str">
        <f t="shared" si="40"/>
        <v/>
      </c>
    </row>
    <row r="92" spans="1:36" x14ac:dyDescent="0.25">
      <c r="A92" s="17">
        <f t="shared" si="41"/>
        <v>12</v>
      </c>
      <c r="B92" s="8" t="s">
        <v>38</v>
      </c>
      <c r="C92" s="4" t="s">
        <v>24</v>
      </c>
      <c r="D92" s="5" t="s">
        <v>0</v>
      </c>
      <c r="E92" s="5"/>
      <c r="F92" s="5" t="s">
        <v>1</v>
      </c>
      <c r="G92" s="5" t="s">
        <v>1</v>
      </c>
      <c r="H92" s="17" t="str">
        <f t="shared" si="45"/>
        <v>""</v>
      </c>
      <c r="I92" s="5" t="s">
        <v>46</v>
      </c>
      <c r="J92" s="5" t="s">
        <v>46</v>
      </c>
      <c r="K92" s="5" t="s">
        <v>46</v>
      </c>
      <c r="L92" s="5" t="s">
        <v>46</v>
      </c>
      <c r="M92" s="5" t="s">
        <v>22</v>
      </c>
      <c r="N92" s="8">
        <f t="shared" si="46"/>
        <v>8</v>
      </c>
      <c r="O92" s="5">
        <v>0</v>
      </c>
      <c r="P92" s="5">
        <v>0</v>
      </c>
      <c r="Q92" s="5" t="s">
        <v>23</v>
      </c>
      <c r="R92" s="5" t="s">
        <v>23</v>
      </c>
      <c r="S92" s="5" t="s">
        <v>23</v>
      </c>
      <c r="T92" s="5" t="s">
        <v>46</v>
      </c>
      <c r="U92" s="5" t="s">
        <v>46</v>
      </c>
      <c r="V92" s="5" t="s">
        <v>46</v>
      </c>
      <c r="W92" s="5">
        <v>0</v>
      </c>
      <c r="X92" s="10" t="s">
        <v>77</v>
      </c>
      <c r="Y92" s="10"/>
      <c r="Z92" s="10"/>
      <c r="AB92" s="2" t="str">
        <f t="shared" si="43"/>
        <v xml:space="preserve">/*12*/{" ","","","","",false,false,false,false,10.0,8,0,0,0.0,0.0,0.0,false,false,false,0},//. </v>
      </c>
      <c r="AD92" s="12" t="str">
        <f t="shared" si="36"/>
        <v/>
      </c>
      <c r="AE92" s="12" t="str">
        <f t="shared" si="37"/>
        <v/>
      </c>
      <c r="AH92" s="12" t="str">
        <f t="shared" si="38"/>
        <v/>
      </c>
      <c r="AI92" s="12" t="str">
        <f t="shared" si="39"/>
        <v/>
      </c>
      <c r="AJ92" s="12" t="str">
        <f t="shared" si="40"/>
        <v/>
      </c>
    </row>
    <row r="93" spans="1:36" x14ac:dyDescent="0.25">
      <c r="A93" s="17">
        <f t="shared" si="41"/>
        <v>13</v>
      </c>
      <c r="B93" s="8" t="s">
        <v>39</v>
      </c>
      <c r="C93" s="4" t="s">
        <v>24</v>
      </c>
      <c r="D93" s="5" t="s">
        <v>0</v>
      </c>
      <c r="E93" s="5"/>
      <c r="F93" s="5" t="s">
        <v>1</v>
      </c>
      <c r="G93" s="5" t="s">
        <v>1</v>
      </c>
      <c r="H93" s="17" t="str">
        <f t="shared" si="45"/>
        <v>""</v>
      </c>
      <c r="I93" s="5" t="s">
        <v>46</v>
      </c>
      <c r="J93" s="5" t="s">
        <v>46</v>
      </c>
      <c r="K93" s="5" t="s">
        <v>46</v>
      </c>
      <c r="L93" s="5" t="s">
        <v>46</v>
      </c>
      <c r="M93" s="5" t="s">
        <v>22</v>
      </c>
      <c r="N93" s="8">
        <f t="shared" si="46"/>
        <v>8</v>
      </c>
      <c r="O93" s="5">
        <v>0</v>
      </c>
      <c r="P93" s="5">
        <v>0</v>
      </c>
      <c r="Q93" s="5" t="s">
        <v>23</v>
      </c>
      <c r="R93" s="5" t="s">
        <v>23</v>
      </c>
      <c r="S93" s="5" t="s">
        <v>23</v>
      </c>
      <c r="T93" s="5" t="s">
        <v>46</v>
      </c>
      <c r="U93" s="5" t="s">
        <v>46</v>
      </c>
      <c r="V93" s="5" t="s">
        <v>46</v>
      </c>
      <c r="W93" s="5">
        <v>0</v>
      </c>
      <c r="X93" s="10" t="s">
        <v>77</v>
      </c>
      <c r="Y93" s="10"/>
      <c r="Z93" s="10"/>
      <c r="AB93" s="2" t="str">
        <f t="shared" si="43"/>
        <v xml:space="preserve">/*13*/{" ","","","","",false,false,false,false,10.0,8,0,0,0.0,0.0,0.0,false,false,false,0},//. </v>
      </c>
      <c r="AD93" s="12" t="str">
        <f t="shared" si="36"/>
        <v/>
      </c>
      <c r="AE93" s="12" t="str">
        <f t="shared" si="37"/>
        <v/>
      </c>
      <c r="AH93" s="12" t="str">
        <f t="shared" si="38"/>
        <v/>
      </c>
      <c r="AI93" s="12" t="str">
        <f t="shared" si="39"/>
        <v/>
      </c>
      <c r="AJ93" s="12" t="str">
        <f t="shared" si="40"/>
        <v/>
      </c>
    </row>
    <row r="94" spans="1:36" x14ac:dyDescent="0.25">
      <c r="A94" s="17">
        <f t="shared" si="41"/>
        <v>14</v>
      </c>
      <c r="B94" s="8" t="s">
        <v>40</v>
      </c>
      <c r="C94" s="4" t="s">
        <v>24</v>
      </c>
      <c r="D94" s="5" t="s">
        <v>0</v>
      </c>
      <c r="E94" s="5"/>
      <c r="F94" s="5" t="s">
        <v>1</v>
      </c>
      <c r="G94" s="5" t="s">
        <v>1</v>
      </c>
      <c r="H94" s="17" t="str">
        <f t="shared" si="45"/>
        <v>""</v>
      </c>
      <c r="I94" s="5" t="s">
        <v>46</v>
      </c>
      <c r="J94" s="5" t="s">
        <v>46</v>
      </c>
      <c r="K94" s="5" t="s">
        <v>46</v>
      </c>
      <c r="L94" s="5" t="s">
        <v>46</v>
      </c>
      <c r="M94" s="5" t="s">
        <v>22</v>
      </c>
      <c r="N94" s="8">
        <f t="shared" si="46"/>
        <v>8</v>
      </c>
      <c r="O94" s="5">
        <v>0</v>
      </c>
      <c r="P94" s="5">
        <v>0</v>
      </c>
      <c r="Q94" s="5" t="s">
        <v>23</v>
      </c>
      <c r="R94" s="5" t="s">
        <v>23</v>
      </c>
      <c r="S94" s="5" t="s">
        <v>23</v>
      </c>
      <c r="T94" s="5" t="s">
        <v>46</v>
      </c>
      <c r="U94" s="5" t="s">
        <v>46</v>
      </c>
      <c r="V94" s="5" t="s">
        <v>46</v>
      </c>
      <c r="W94" s="5">
        <v>0</v>
      </c>
      <c r="X94" s="10" t="s">
        <v>77</v>
      </c>
      <c r="Y94" s="10"/>
      <c r="Z94" s="10"/>
      <c r="AB94" s="2" t="str">
        <f t="shared" si="43"/>
        <v xml:space="preserve">/*14*/{" ","","","","",false,false,false,false,10.0,8,0,0,0.0,0.0,0.0,false,false,false,0},//. </v>
      </c>
      <c r="AD94" s="12" t="str">
        <f t="shared" si="36"/>
        <v/>
      </c>
      <c r="AE94" s="12" t="str">
        <f t="shared" si="37"/>
        <v/>
      </c>
      <c r="AH94" s="12" t="str">
        <f t="shared" si="38"/>
        <v/>
      </c>
      <c r="AI94" s="12" t="str">
        <f t="shared" si="39"/>
        <v/>
      </c>
      <c r="AJ94" s="12" t="str">
        <f t="shared" si="40"/>
        <v/>
      </c>
    </row>
    <row r="95" spans="1:36" x14ac:dyDescent="0.25">
      <c r="A95" s="17">
        <f t="shared" si="41"/>
        <v>15</v>
      </c>
      <c r="B95" s="8" t="s">
        <v>41</v>
      </c>
      <c r="C95" s="4" t="s">
        <v>24</v>
      </c>
      <c r="D95" s="5" t="s">
        <v>0</v>
      </c>
      <c r="E95" s="5"/>
      <c r="F95" s="5" t="s">
        <v>1</v>
      </c>
      <c r="G95" s="5" t="s">
        <v>1</v>
      </c>
      <c r="H95" s="17" t="str">
        <f t="shared" si="45"/>
        <v>""</v>
      </c>
      <c r="I95" s="5" t="s">
        <v>46</v>
      </c>
      <c r="J95" s="5" t="s">
        <v>46</v>
      </c>
      <c r="K95" s="5" t="s">
        <v>46</v>
      </c>
      <c r="L95" s="5" t="s">
        <v>46</v>
      </c>
      <c r="M95" s="5" t="s">
        <v>22</v>
      </c>
      <c r="N95" s="8">
        <f t="shared" si="46"/>
        <v>8</v>
      </c>
      <c r="O95" s="5">
        <v>0</v>
      </c>
      <c r="P95" s="5">
        <v>0</v>
      </c>
      <c r="Q95" s="5" t="s">
        <v>23</v>
      </c>
      <c r="R95" s="5" t="s">
        <v>23</v>
      </c>
      <c r="S95" s="5" t="s">
        <v>23</v>
      </c>
      <c r="T95" s="5" t="s">
        <v>46</v>
      </c>
      <c r="U95" s="5" t="s">
        <v>46</v>
      </c>
      <c r="V95" s="5" t="s">
        <v>46</v>
      </c>
      <c r="W95" s="5">
        <v>0</v>
      </c>
      <c r="X95" s="10" t="s">
        <v>77</v>
      </c>
      <c r="Y95" s="10"/>
      <c r="Z95" s="10"/>
      <c r="AB95" s="2" t="str">
        <f t="shared" si="43"/>
        <v xml:space="preserve">/*15*/{" ","","","","",false,false,false,false,10.0,8,0,0,0.0,0.0,0.0,false,false,false,0},//. </v>
      </c>
      <c r="AD95" s="12" t="str">
        <f t="shared" si="36"/>
        <v/>
      </c>
      <c r="AE95" s="12" t="str">
        <f t="shared" si="37"/>
        <v/>
      </c>
      <c r="AH95" s="12" t="str">
        <f t="shared" si="38"/>
        <v/>
      </c>
      <c r="AI95" s="12" t="str">
        <f t="shared" si="39"/>
        <v/>
      </c>
      <c r="AJ95" s="12" t="str">
        <f t="shared" si="40"/>
        <v/>
      </c>
    </row>
    <row r="96" spans="1:36" x14ac:dyDescent="0.25">
      <c r="A96" s="17">
        <f t="shared" si="41"/>
        <v>16</v>
      </c>
      <c r="B96" s="8" t="s">
        <v>42</v>
      </c>
      <c r="C96" s="4" t="s">
        <v>24</v>
      </c>
      <c r="D96" s="5" t="s">
        <v>0</v>
      </c>
      <c r="E96" s="5"/>
      <c r="F96" s="5" t="s">
        <v>1</v>
      </c>
      <c r="G96" s="5" t="s">
        <v>1</v>
      </c>
      <c r="H96" s="17" t="str">
        <f t="shared" si="45"/>
        <v>""</v>
      </c>
      <c r="I96" s="5" t="s">
        <v>46</v>
      </c>
      <c r="J96" s="5" t="s">
        <v>46</v>
      </c>
      <c r="K96" s="5" t="s">
        <v>46</v>
      </c>
      <c r="L96" s="5" t="s">
        <v>46</v>
      </c>
      <c r="M96" s="5" t="s">
        <v>22</v>
      </c>
      <c r="N96" s="8">
        <f t="shared" si="46"/>
        <v>8</v>
      </c>
      <c r="O96" s="5">
        <v>0</v>
      </c>
      <c r="P96" s="5">
        <v>0</v>
      </c>
      <c r="Q96" s="5" t="s">
        <v>23</v>
      </c>
      <c r="R96" s="5" t="s">
        <v>23</v>
      </c>
      <c r="S96" s="5" t="s">
        <v>23</v>
      </c>
      <c r="T96" s="5" t="s">
        <v>46</v>
      </c>
      <c r="U96" s="5" t="s">
        <v>46</v>
      </c>
      <c r="V96" s="5" t="s">
        <v>46</v>
      </c>
      <c r="W96" s="5">
        <v>0</v>
      </c>
      <c r="X96" s="10" t="s">
        <v>77</v>
      </c>
      <c r="Y96" s="10"/>
      <c r="Z96" s="10"/>
      <c r="AB96" s="2" t="str">
        <f t="shared" si="43"/>
        <v xml:space="preserve">/*16*/{" ","","","","",false,false,false,false,10.0,8,0,0,0.0,0.0,0.0,false,false,false,0},//. </v>
      </c>
      <c r="AD96" s="12" t="str">
        <f t="shared" si="36"/>
        <v/>
      </c>
      <c r="AE96" s="12" t="str">
        <f t="shared" si="37"/>
        <v/>
      </c>
      <c r="AH96" s="12" t="str">
        <f t="shared" si="38"/>
        <v/>
      </c>
      <c r="AI96" s="12" t="str">
        <f t="shared" si="39"/>
        <v/>
      </c>
      <c r="AJ96" s="12" t="str">
        <f t="shared" si="40"/>
        <v/>
      </c>
    </row>
    <row r="97" spans="1:36" x14ac:dyDescent="0.25">
      <c r="A97" s="17">
        <f t="shared" si="41"/>
        <v>17</v>
      </c>
      <c r="B97" s="8" t="s">
        <v>43</v>
      </c>
      <c r="C97" s="4" t="s">
        <v>24</v>
      </c>
      <c r="D97" s="5" t="s">
        <v>0</v>
      </c>
      <c r="E97" s="5"/>
      <c r="F97" s="5" t="s">
        <v>1</v>
      </c>
      <c r="G97" s="5" t="s">
        <v>1</v>
      </c>
      <c r="H97" s="17" t="str">
        <f t="shared" si="45"/>
        <v>""</v>
      </c>
      <c r="I97" s="5" t="s">
        <v>46</v>
      </c>
      <c r="J97" s="5" t="s">
        <v>46</v>
      </c>
      <c r="K97" s="5" t="s">
        <v>46</v>
      </c>
      <c r="L97" s="5" t="s">
        <v>46</v>
      </c>
      <c r="M97" s="5" t="s">
        <v>22</v>
      </c>
      <c r="N97" s="8">
        <f t="shared" si="46"/>
        <v>8</v>
      </c>
      <c r="O97" s="5">
        <v>0</v>
      </c>
      <c r="P97" s="5">
        <v>0</v>
      </c>
      <c r="Q97" s="5" t="s">
        <v>23</v>
      </c>
      <c r="R97" s="5" t="s">
        <v>23</v>
      </c>
      <c r="S97" s="5" t="s">
        <v>23</v>
      </c>
      <c r="T97" s="5" t="s">
        <v>46</v>
      </c>
      <c r="U97" s="5" t="s">
        <v>46</v>
      </c>
      <c r="V97" s="5" t="s">
        <v>46</v>
      </c>
      <c r="W97" s="5">
        <v>0</v>
      </c>
      <c r="X97" s="10" t="s">
        <v>77</v>
      </c>
      <c r="Y97" s="10"/>
      <c r="Z97" s="10"/>
      <c r="AB97" s="2" t="str">
        <f t="shared" si="43"/>
        <v xml:space="preserve">/*17*/{" ","","","","",false,false,false,false,10.0,8,0,0,0.0,0.0,0.0,false,false,false,0},//. </v>
      </c>
      <c r="AD97" s="12" t="str">
        <f t="shared" si="36"/>
        <v/>
      </c>
      <c r="AE97" s="12" t="str">
        <f t="shared" si="37"/>
        <v/>
      </c>
      <c r="AH97" s="12" t="str">
        <f t="shared" si="38"/>
        <v/>
      </c>
      <c r="AI97" s="12" t="str">
        <f t="shared" si="39"/>
        <v/>
      </c>
      <c r="AJ97" s="12" t="str">
        <f t="shared" si="40"/>
        <v/>
      </c>
    </row>
    <row r="98" spans="1:36" x14ac:dyDescent="0.25">
      <c r="A98" s="17">
        <f t="shared" si="41"/>
        <v>18</v>
      </c>
      <c r="B98" s="8" t="s">
        <v>44</v>
      </c>
      <c r="C98" s="4" t="s">
        <v>24</v>
      </c>
      <c r="D98" s="5" t="s">
        <v>0</v>
      </c>
      <c r="E98" s="5"/>
      <c r="F98" s="5" t="s">
        <v>1</v>
      </c>
      <c r="G98" s="5" t="s">
        <v>1</v>
      </c>
      <c r="H98" s="17" t="str">
        <f t="shared" si="45"/>
        <v>""</v>
      </c>
      <c r="I98" s="5" t="s">
        <v>46</v>
      </c>
      <c r="J98" s="5" t="s">
        <v>46</v>
      </c>
      <c r="K98" s="5" t="s">
        <v>46</v>
      </c>
      <c r="L98" s="5" t="s">
        <v>46</v>
      </c>
      <c r="M98" s="5" t="s">
        <v>22</v>
      </c>
      <c r="N98" s="8">
        <f t="shared" si="46"/>
        <v>8</v>
      </c>
      <c r="O98" s="5">
        <v>0</v>
      </c>
      <c r="P98" s="5">
        <v>0</v>
      </c>
      <c r="Q98" s="5" t="s">
        <v>23</v>
      </c>
      <c r="R98" s="5" t="s">
        <v>23</v>
      </c>
      <c r="S98" s="5" t="s">
        <v>23</v>
      </c>
      <c r="T98" s="5" t="s">
        <v>46</v>
      </c>
      <c r="U98" s="5" t="s">
        <v>46</v>
      </c>
      <c r="V98" s="5" t="s">
        <v>46</v>
      </c>
      <c r="W98" s="5">
        <v>0</v>
      </c>
      <c r="X98" s="10" t="s">
        <v>77</v>
      </c>
      <c r="Y98" s="10"/>
      <c r="Z98" s="10"/>
      <c r="AB98" s="2" t="str">
        <f t="shared" si="43"/>
        <v xml:space="preserve">/*18*/{" ","","","","",false,false,false,false,10.0,8,0,0,0.0,0.0,0.0,false,false,false,0},//. </v>
      </c>
      <c r="AD98" s="12" t="str">
        <f t="shared" si="36"/>
        <v/>
      </c>
      <c r="AE98" s="12" t="str">
        <f t="shared" si="37"/>
        <v/>
      </c>
      <c r="AH98" s="12" t="str">
        <f t="shared" si="38"/>
        <v/>
      </c>
      <c r="AI98" s="12" t="str">
        <f t="shared" si="39"/>
        <v/>
      </c>
      <c r="AJ98" s="12" t="str">
        <f t="shared" si="40"/>
        <v/>
      </c>
    </row>
    <row r="99" spans="1:36" x14ac:dyDescent="0.25">
      <c r="A99" s="17">
        <f t="shared" si="41"/>
        <v>19</v>
      </c>
      <c r="B99" s="8" t="s">
        <v>45</v>
      </c>
      <c r="C99" s="4" t="s">
        <v>24</v>
      </c>
      <c r="D99" s="5" t="s">
        <v>0</v>
      </c>
      <c r="E99" s="5"/>
      <c r="F99" s="5" t="s">
        <v>1</v>
      </c>
      <c r="G99" s="5" t="s">
        <v>1</v>
      </c>
      <c r="H99" s="17" t="str">
        <f t="shared" si="45"/>
        <v>""</v>
      </c>
      <c r="I99" s="5" t="s">
        <v>46</v>
      </c>
      <c r="J99" s="5" t="s">
        <v>46</v>
      </c>
      <c r="K99" s="5" t="s">
        <v>46</v>
      </c>
      <c r="L99" s="5" t="s">
        <v>46</v>
      </c>
      <c r="M99" s="5" t="s">
        <v>22</v>
      </c>
      <c r="N99" s="8">
        <f t="shared" si="46"/>
        <v>8</v>
      </c>
      <c r="O99" s="5">
        <v>0</v>
      </c>
      <c r="P99" s="5">
        <v>0</v>
      </c>
      <c r="Q99" s="5" t="s">
        <v>23</v>
      </c>
      <c r="R99" s="5" t="s">
        <v>23</v>
      </c>
      <c r="S99" s="5" t="s">
        <v>23</v>
      </c>
      <c r="T99" s="5" t="s">
        <v>46</v>
      </c>
      <c r="U99" s="5" t="s">
        <v>46</v>
      </c>
      <c r="V99" s="5" t="s">
        <v>46</v>
      </c>
      <c r="W99" s="5">
        <v>0</v>
      </c>
      <c r="X99" s="10" t="s">
        <v>77</v>
      </c>
      <c r="Y99" s="10"/>
      <c r="Z99" s="10"/>
      <c r="AB99" s="2" t="str">
        <f t="shared" si="43"/>
        <v xml:space="preserve">/*19*/{" ","","","","",false,false,false,false,10.0,8,0,0,0.0,0.0,0.0,false,false,false,0},//. </v>
      </c>
      <c r="AD99" s="12" t="str">
        <f>IF(X99="Да",CONCATENATE("float &amp;",SUBSTITUTE(Z99," ","")," = Screens[",$A$77,"][",A99,"].Param;// Ссылка. ",$Y$80,". ",Y99),"")</f>
        <v/>
      </c>
      <c r="AE99" s="12" t="str">
        <f t="shared" si="37"/>
        <v/>
      </c>
      <c r="AH99" s="12" t="str">
        <f>IF(X99="Да",CONCATENATE("Ref.",,SUBSTITUTE(Z99," ","")," = ",$AI$1,$B$77,SUBSTITUTE(E99," ",""),";//",$Y$80,". ",Y99),"")</f>
        <v/>
      </c>
      <c r="AI99" s="12" t="str">
        <f t="shared" si="39"/>
        <v/>
      </c>
      <c r="AJ99" s="12" t="str">
        <f>IF(X99="Да",CONCATENATE($AI$1,SUBSTITUTE(Z99," ","")," = ",M99,";//",$Y$80,". ",Y99),"")</f>
        <v/>
      </c>
    </row>
    <row r="100" spans="1:36" x14ac:dyDescent="0.25">
      <c r="AB100" s="3" t="s">
        <v>25</v>
      </c>
    </row>
    <row r="101" spans="1:36" x14ac:dyDescent="0.25">
      <c r="A101" s="14">
        <f>A77+1</f>
        <v>4</v>
      </c>
      <c r="B101" s="12">
        <f>E104</f>
        <v>0</v>
      </c>
      <c r="D101" s="7" t="s">
        <v>58</v>
      </c>
      <c r="AB101" s="3" t="s">
        <v>51</v>
      </c>
    </row>
    <row r="102" spans="1:36" ht="45" x14ac:dyDescent="0.25">
      <c r="A102" s="15" t="s">
        <v>78</v>
      </c>
      <c r="B102" s="18"/>
      <c r="C102" s="6" t="s">
        <v>25</v>
      </c>
      <c r="D102" s="6" t="s">
        <v>17</v>
      </c>
      <c r="E102" s="6" t="s">
        <v>18</v>
      </c>
      <c r="F102" s="6" t="s">
        <v>19</v>
      </c>
      <c r="G102" s="6" t="s">
        <v>20</v>
      </c>
      <c r="H102" s="6" t="s">
        <v>21</v>
      </c>
      <c r="I102" s="6" t="s">
        <v>2</v>
      </c>
      <c r="J102" s="6" t="s">
        <v>3</v>
      </c>
      <c r="K102" s="6" t="s">
        <v>4</v>
      </c>
      <c r="L102" s="6" t="s">
        <v>5</v>
      </c>
      <c r="M102" s="6" t="s">
        <v>6</v>
      </c>
      <c r="N102" s="6" t="s">
        <v>7</v>
      </c>
      <c r="O102" s="6" t="s">
        <v>8</v>
      </c>
      <c r="P102" s="6" t="s">
        <v>9</v>
      </c>
      <c r="Q102" s="6" t="s">
        <v>10</v>
      </c>
      <c r="R102" s="6" t="s">
        <v>11</v>
      </c>
      <c r="S102" s="6" t="s">
        <v>12</v>
      </c>
      <c r="T102" s="6" t="s">
        <v>13</v>
      </c>
      <c r="U102" s="6" t="s">
        <v>14</v>
      </c>
      <c r="V102" s="6" t="s">
        <v>15</v>
      </c>
      <c r="W102" s="6" t="s">
        <v>16</v>
      </c>
      <c r="X102" s="6" t="s">
        <v>76</v>
      </c>
      <c r="Y102" s="6" t="s">
        <v>80</v>
      </c>
      <c r="Z102" s="6" t="s">
        <v>97</v>
      </c>
      <c r="AA102" s="1"/>
      <c r="AB102" s="2" t="str">
        <f>CONCATENATE(D101," - ",E104)</f>
        <v xml:space="preserve">//Экран 4 - </v>
      </c>
      <c r="AD102" s="19" t="s">
        <v>81</v>
      </c>
      <c r="AE102" s="19" t="s">
        <v>82</v>
      </c>
      <c r="AF102" s="5"/>
      <c r="AG102" s="5"/>
      <c r="AH102" s="19" t="s">
        <v>83</v>
      </c>
      <c r="AI102" s="19" t="s">
        <v>84</v>
      </c>
      <c r="AJ102" s="19" t="s">
        <v>85</v>
      </c>
    </row>
    <row r="103" spans="1:36" x14ac:dyDescent="0.25">
      <c r="A103" s="16"/>
      <c r="B103" s="13"/>
      <c r="C103" s="4" t="s">
        <v>24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11"/>
      <c r="Y103" s="11"/>
      <c r="Z103" s="11"/>
      <c r="AA103" s="1"/>
      <c r="AB103" s="3" t="str">
        <f>C103</f>
        <v>{</v>
      </c>
    </row>
    <row r="104" spans="1:36" x14ac:dyDescent="0.25">
      <c r="A104" s="17">
        <v>0</v>
      </c>
      <c r="B104" s="8" t="s">
        <v>27</v>
      </c>
      <c r="C104" s="4" t="s">
        <v>24</v>
      </c>
      <c r="D104" s="5" t="s">
        <v>0</v>
      </c>
      <c r="E104" s="5"/>
      <c r="F104" s="5" t="s">
        <v>1</v>
      </c>
      <c r="G104" s="5" t="s">
        <v>1</v>
      </c>
      <c r="H104" s="17" t="str">
        <f t="shared" ref="H104:H123" si="47">IF(AND(I104="true",J104="false"),""" ""","""""")</f>
        <v>""</v>
      </c>
      <c r="I104" s="5" t="s">
        <v>46</v>
      </c>
      <c r="J104" s="5" t="s">
        <v>46</v>
      </c>
      <c r="K104" s="5" t="s">
        <v>46</v>
      </c>
      <c r="L104" s="5" t="s">
        <v>46</v>
      </c>
      <c r="M104" s="5" t="s">
        <v>23</v>
      </c>
      <c r="N104" s="8">
        <v>3</v>
      </c>
      <c r="O104" s="5">
        <v>0</v>
      </c>
      <c r="P104" s="5" t="s">
        <v>93</v>
      </c>
      <c r="Q104" s="5" t="s">
        <v>89</v>
      </c>
      <c r="R104" s="5" t="s">
        <v>91</v>
      </c>
      <c r="S104" s="5" t="s">
        <v>90</v>
      </c>
      <c r="T104" s="5" t="s">
        <v>46</v>
      </c>
      <c r="U104" s="5" t="s">
        <v>46</v>
      </c>
      <c r="V104" s="5" t="s">
        <v>46</v>
      </c>
      <c r="W104" s="5">
        <v>0</v>
      </c>
      <c r="X104" s="10" t="s">
        <v>77</v>
      </c>
      <c r="Y104" s="5"/>
      <c r="Z104" s="10"/>
      <c r="AB104" s="2" t="str">
        <f>CONCATENATE(B104,C104,D104,",""",E104,""",",F104,",",G104,",",H104,",",I104,",",J104,",",K104,",",L104,",",M104,",",N104,",",O104,",",P104,",",Q104,",",R104,",",S104,",",T104,",",U104,",",V104,",",W104,"},//",Y104)</f>
        <v>/*0*/{" ","","","","",false,false,false,false,0.0,3,0,4,150.0,-50.0,1.0,false,false,false,0},//</v>
      </c>
      <c r="AD104" s="12" t="str">
        <f t="shared" ref="AD104:AD122" si="48">IF(X104="Да",IF(T104="false",CONCATENATE("float &amp;",SUBSTITUTE(Z104," ","")," = Screens[",$A$101,"][",A104,"].Param;// Ссылка. ",$Y$104,". ",Y104),CONCATENATE("bool &amp;",SUBSTITUTE(Z104," ","")," = Screens[",$A$101,"][",A104,"].BoolParam;// Ссылка. ",$Y$104,". ",Y104)),"")</f>
        <v/>
      </c>
      <c r="AE104" s="12" t="str">
        <f t="shared" ref="AE104:AE123" si="49">IF(X104="Да",IF(T104="false",CONCATENATE("float ",SUBSTITUTE(Z104," ",""),"; //",$Y$104,". ",Y104),CONCATENATE("bool ",SUBSTITUTE(Z104," ",""),"; //",$Y$104,". ",Y104)),"")</f>
        <v/>
      </c>
      <c r="AH104" s="12" t="str">
        <f t="shared" ref="AH104:AH122" si="50">IF(X104="Да",CONCATENATE("Ref.",,SUBSTITUTE(Z104," ","")," = ",$AI$1,SUBSTITUTE(Z104," ",""),";//",$Y$104,". ",Y104),"")</f>
        <v/>
      </c>
      <c r="AI104" s="12" t="str">
        <f t="shared" ref="AI104:AI123" si="51">IF(X104="Да",CONCATENATE($AI$1,SUBSTITUTE(Z104," ","")," = Ref.",SUBSTITUTE(Z104," ",""),";//",$Y$104,". ",Y104),"")</f>
        <v/>
      </c>
      <c r="AJ104" s="12" t="str">
        <f t="shared" ref="AJ104:AJ122" si="52">IF(X104="Да",IF(T104="false",CONCATENATE($AI$1,SUBSTITUTE(Z104," ","")," = ",M104,";//",$Y$104,". ",Y104),CONCATENATE($AI$1,SUBSTITUTE(Z104," ","")," = ",U104,";//",$Y$104,". ",Y104)),"")</f>
        <v/>
      </c>
    </row>
    <row r="105" spans="1:36" x14ac:dyDescent="0.25">
      <c r="A105" s="17">
        <f>A104+1</f>
        <v>1</v>
      </c>
      <c r="B105" s="8" t="s">
        <v>26</v>
      </c>
      <c r="C105" s="4" t="s">
        <v>24</v>
      </c>
      <c r="D105" s="5" t="s">
        <v>0</v>
      </c>
      <c r="E105" s="8"/>
      <c r="F105" s="5" t="s">
        <v>1</v>
      </c>
      <c r="G105" s="5" t="s">
        <v>1</v>
      </c>
      <c r="H105" s="17" t="str">
        <f t="shared" si="47"/>
        <v>""</v>
      </c>
      <c r="I105" s="5" t="s">
        <v>46</v>
      </c>
      <c r="J105" s="5" t="s">
        <v>46</v>
      </c>
      <c r="K105" s="5" t="s">
        <v>46</v>
      </c>
      <c r="L105" s="5" t="s">
        <v>46</v>
      </c>
      <c r="M105" s="5" t="s">
        <v>117</v>
      </c>
      <c r="N105" s="8">
        <f t="shared" ref="N105:N114" si="53">N104</f>
        <v>3</v>
      </c>
      <c r="O105" s="5">
        <v>0</v>
      </c>
      <c r="P105" s="5">
        <v>0</v>
      </c>
      <c r="Q105" s="5" t="s">
        <v>117</v>
      </c>
      <c r="R105" s="5" t="s">
        <v>23</v>
      </c>
      <c r="S105" s="5" t="s">
        <v>90</v>
      </c>
      <c r="T105" s="5" t="s">
        <v>46</v>
      </c>
      <c r="U105" s="5" t="s">
        <v>46</v>
      </c>
      <c r="V105" s="5" t="s">
        <v>46</v>
      </c>
      <c r="W105" s="5">
        <v>0</v>
      </c>
      <c r="X105" s="10" t="s">
        <v>96</v>
      </c>
      <c r="Y105" s="8"/>
      <c r="Z105" s="20"/>
      <c r="AB105" s="2" t="str">
        <f>CONCATENATE(B105,C105,D105,",""",E105,""",",F105,",",G105,",",H105,",",I105,",",J105,",",K105,",",L105,",",M105,",",N105,",",O105,",",P105,",",Q105,",",R105,",",S105,",",T105,",",U105,",",V105,",",W105,"},//",Y$104,". ",Y105)</f>
        <v xml:space="preserve">/*1*/{" ","","","","",false,false,false,false,400.0,3,0,0,400.0,0.0,1.0,false,false,false,0},//. </v>
      </c>
      <c r="AD105" s="12" t="str">
        <f t="shared" si="48"/>
        <v xml:space="preserve">float &amp; = Screens[4][1].Param;// Ссылка. . </v>
      </c>
      <c r="AE105" s="12" t="str">
        <f t="shared" si="49"/>
        <v xml:space="preserve">float ; //. </v>
      </c>
      <c r="AH105" s="12" t="str">
        <f t="shared" si="50"/>
        <v xml:space="preserve">Ref. = FlashMemory.;//. </v>
      </c>
      <c r="AI105" s="12" t="str">
        <f t="shared" si="51"/>
        <v xml:space="preserve">FlashMemory. = Ref.;//. </v>
      </c>
      <c r="AJ105" s="12" t="str">
        <f t="shared" si="52"/>
        <v xml:space="preserve">FlashMemory. = 400.0;//. </v>
      </c>
    </row>
    <row r="106" spans="1:36" x14ac:dyDescent="0.25">
      <c r="A106" s="17">
        <f t="shared" ref="A106:A123" si="54">A105+1</f>
        <v>2</v>
      </c>
      <c r="B106" s="8" t="s">
        <v>28</v>
      </c>
      <c r="C106" s="4" t="s">
        <v>24</v>
      </c>
      <c r="D106" s="5" t="s">
        <v>0</v>
      </c>
      <c r="E106" s="5"/>
      <c r="F106" s="5" t="s">
        <v>1</v>
      </c>
      <c r="G106" s="5" t="s">
        <v>1</v>
      </c>
      <c r="H106" s="17" t="str">
        <f t="shared" si="47"/>
        <v>""</v>
      </c>
      <c r="I106" s="5" t="s">
        <v>46</v>
      </c>
      <c r="J106" s="5" t="s">
        <v>46</v>
      </c>
      <c r="K106" s="5" t="s">
        <v>46</v>
      </c>
      <c r="L106" s="5" t="s">
        <v>46</v>
      </c>
      <c r="M106" s="5" t="s">
        <v>23</v>
      </c>
      <c r="N106" s="8">
        <f t="shared" si="53"/>
        <v>3</v>
      </c>
      <c r="O106" s="5">
        <v>0</v>
      </c>
      <c r="P106" s="5">
        <v>0</v>
      </c>
      <c r="Q106" s="5" t="s">
        <v>117</v>
      </c>
      <c r="R106" s="5" t="s">
        <v>23</v>
      </c>
      <c r="S106" s="5" t="s">
        <v>90</v>
      </c>
      <c r="T106" s="5" t="s">
        <v>46</v>
      </c>
      <c r="U106" s="5" t="s">
        <v>46</v>
      </c>
      <c r="V106" s="5" t="s">
        <v>46</v>
      </c>
      <c r="W106" s="5">
        <v>0</v>
      </c>
      <c r="X106" s="10" t="s">
        <v>96</v>
      </c>
      <c r="Y106" s="5"/>
      <c r="Z106" s="20"/>
      <c r="AB106" s="2" t="str">
        <f t="shared" ref="AB106:AB123" si="55">CONCATENATE(B106,C106,D106,",""",E106,""",",F106,",",G106,",",H106,",",I106,",",J106,",",K106,",",L106,",",M106,",",N106,",",O106,",",P106,",",Q106,",",R106,",",S106,",",T106,",",U106,",",V106,",",W106,"},//",Y$104,". ",Y106)</f>
        <v xml:space="preserve">/*2*/{" ","","","","",false,false,false,false,0.0,3,0,0,400.0,0.0,1.0,false,false,false,0},//. </v>
      </c>
      <c r="AD106" s="12" t="str">
        <f t="shared" si="48"/>
        <v xml:space="preserve">float &amp; = Screens[4][2].Param;// Ссылка. . </v>
      </c>
      <c r="AE106" s="12" t="str">
        <f t="shared" si="49"/>
        <v xml:space="preserve">float ; //. </v>
      </c>
      <c r="AH106" s="12" t="str">
        <f t="shared" si="50"/>
        <v xml:space="preserve">Ref. = FlashMemory.;//. </v>
      </c>
      <c r="AI106" s="12" t="str">
        <f t="shared" si="51"/>
        <v xml:space="preserve">FlashMemory. = Ref.;//. </v>
      </c>
      <c r="AJ106" s="12" t="str">
        <f t="shared" si="52"/>
        <v xml:space="preserve">FlashMemory. = 0.0;//. </v>
      </c>
    </row>
    <row r="107" spans="1:36" x14ac:dyDescent="0.25">
      <c r="A107" s="17">
        <f t="shared" si="54"/>
        <v>3</v>
      </c>
      <c r="B107" s="8" t="s">
        <v>29</v>
      </c>
      <c r="C107" s="4" t="s">
        <v>24</v>
      </c>
      <c r="D107" s="5" t="s">
        <v>0</v>
      </c>
      <c r="E107" s="5"/>
      <c r="F107" s="5" t="s">
        <v>1</v>
      </c>
      <c r="G107" s="5" t="s">
        <v>1</v>
      </c>
      <c r="H107" s="17" t="str">
        <f t="shared" si="47"/>
        <v>""</v>
      </c>
      <c r="I107" s="5" t="s">
        <v>46</v>
      </c>
      <c r="J107" s="5" t="s">
        <v>46</v>
      </c>
      <c r="K107" s="5" t="s">
        <v>46</v>
      </c>
      <c r="L107" s="5" t="s">
        <v>46</v>
      </c>
      <c r="M107" s="5" t="s">
        <v>23</v>
      </c>
      <c r="N107" s="8">
        <f t="shared" si="53"/>
        <v>3</v>
      </c>
      <c r="O107" s="5">
        <v>0</v>
      </c>
      <c r="P107" s="5">
        <v>0</v>
      </c>
      <c r="Q107" s="5" t="s">
        <v>23</v>
      </c>
      <c r="R107" s="5" t="s">
        <v>23</v>
      </c>
      <c r="S107" s="5" t="s">
        <v>23</v>
      </c>
      <c r="T107" s="5" t="s">
        <v>46</v>
      </c>
      <c r="U107" s="5" t="s">
        <v>46</v>
      </c>
      <c r="V107" s="5" t="s">
        <v>46</v>
      </c>
      <c r="W107" s="5">
        <v>0</v>
      </c>
      <c r="X107" s="10" t="s">
        <v>77</v>
      </c>
      <c r="Y107" s="5"/>
      <c r="Z107" s="20"/>
      <c r="AB107" s="2" t="str">
        <f t="shared" si="55"/>
        <v xml:space="preserve">/*3*/{" ","","","","",false,false,false,false,0.0,3,0,0,0.0,0.0,0.0,false,false,false,0},//. </v>
      </c>
      <c r="AD107" s="12" t="str">
        <f t="shared" si="48"/>
        <v/>
      </c>
      <c r="AE107" s="12" t="str">
        <f t="shared" si="49"/>
        <v/>
      </c>
      <c r="AH107" s="12" t="str">
        <f t="shared" si="50"/>
        <v/>
      </c>
      <c r="AI107" s="12" t="str">
        <f t="shared" si="51"/>
        <v/>
      </c>
      <c r="AJ107" s="12" t="str">
        <f t="shared" si="52"/>
        <v/>
      </c>
    </row>
    <row r="108" spans="1:36" x14ac:dyDescent="0.25">
      <c r="A108" s="17">
        <f t="shared" si="54"/>
        <v>4</v>
      </c>
      <c r="B108" s="8" t="s">
        <v>30</v>
      </c>
      <c r="C108" s="4" t="s">
        <v>24</v>
      </c>
      <c r="D108" s="5" t="s">
        <v>0</v>
      </c>
      <c r="E108" s="8"/>
      <c r="F108" s="5" t="s">
        <v>1</v>
      </c>
      <c r="G108" s="5" t="s">
        <v>1</v>
      </c>
      <c r="H108" s="17" t="str">
        <f t="shared" si="47"/>
        <v>""</v>
      </c>
      <c r="I108" s="5" t="s">
        <v>46</v>
      </c>
      <c r="J108" s="5" t="s">
        <v>46</v>
      </c>
      <c r="K108" s="5" t="s">
        <v>46</v>
      </c>
      <c r="L108" s="5" t="s">
        <v>46</v>
      </c>
      <c r="M108" s="5" t="s">
        <v>23</v>
      </c>
      <c r="N108" s="8">
        <f t="shared" si="53"/>
        <v>3</v>
      </c>
      <c r="O108" s="5">
        <v>0</v>
      </c>
      <c r="P108" s="5">
        <v>0</v>
      </c>
      <c r="Q108" s="5" t="s">
        <v>23</v>
      </c>
      <c r="R108" s="5" t="s">
        <v>23</v>
      </c>
      <c r="S108" s="5" t="s">
        <v>23</v>
      </c>
      <c r="T108" s="5" t="s">
        <v>46</v>
      </c>
      <c r="U108" s="5" t="s">
        <v>46</v>
      </c>
      <c r="V108" s="5" t="s">
        <v>46</v>
      </c>
      <c r="W108" s="5">
        <v>0</v>
      </c>
      <c r="X108" s="10" t="s">
        <v>77</v>
      </c>
      <c r="Y108" s="8"/>
      <c r="Z108" s="20"/>
      <c r="AB108" s="2" t="str">
        <f t="shared" si="55"/>
        <v xml:space="preserve">/*4*/{" ","","","","",false,false,false,false,0.0,3,0,0,0.0,0.0,0.0,false,false,false,0},//. </v>
      </c>
      <c r="AD108" s="12" t="str">
        <f t="shared" si="48"/>
        <v/>
      </c>
      <c r="AE108" s="12" t="str">
        <f t="shared" si="49"/>
        <v/>
      </c>
      <c r="AH108" s="12" t="str">
        <f t="shared" si="50"/>
        <v/>
      </c>
      <c r="AI108" s="12" t="str">
        <f t="shared" si="51"/>
        <v/>
      </c>
      <c r="AJ108" s="12" t="str">
        <f t="shared" si="52"/>
        <v/>
      </c>
    </row>
    <row r="109" spans="1:36" x14ac:dyDescent="0.25">
      <c r="A109" s="17">
        <f t="shared" si="54"/>
        <v>5</v>
      </c>
      <c r="B109" s="8" t="s">
        <v>31</v>
      </c>
      <c r="C109" s="4" t="s">
        <v>24</v>
      </c>
      <c r="D109" s="5" t="s">
        <v>0</v>
      </c>
      <c r="E109" s="5"/>
      <c r="F109" s="5" t="s">
        <v>1</v>
      </c>
      <c r="G109" s="5" t="s">
        <v>1</v>
      </c>
      <c r="H109" s="17" t="str">
        <f t="shared" si="47"/>
        <v>""</v>
      </c>
      <c r="I109" s="5" t="s">
        <v>46</v>
      </c>
      <c r="J109" s="5" t="s">
        <v>46</v>
      </c>
      <c r="K109" s="5" t="s">
        <v>46</v>
      </c>
      <c r="L109" s="5" t="s">
        <v>46</v>
      </c>
      <c r="M109" s="5" t="s">
        <v>22</v>
      </c>
      <c r="N109" s="8">
        <f t="shared" si="53"/>
        <v>3</v>
      </c>
      <c r="O109" s="5">
        <v>0</v>
      </c>
      <c r="P109" s="5">
        <v>0</v>
      </c>
      <c r="Q109" s="5" t="s">
        <v>23</v>
      </c>
      <c r="R109" s="5" t="s">
        <v>23</v>
      </c>
      <c r="S109" s="5" t="s">
        <v>23</v>
      </c>
      <c r="T109" s="5" t="s">
        <v>46</v>
      </c>
      <c r="U109" s="5" t="s">
        <v>46</v>
      </c>
      <c r="V109" s="5" t="s">
        <v>46</v>
      </c>
      <c r="W109" s="5">
        <v>0</v>
      </c>
      <c r="X109" s="10" t="s">
        <v>77</v>
      </c>
      <c r="Y109" s="10"/>
      <c r="Z109" s="10"/>
      <c r="AB109" s="2" t="str">
        <f t="shared" si="55"/>
        <v xml:space="preserve">/*5*/{" ","","","","",false,false,false,false,10.0,3,0,0,0.0,0.0,0.0,false,false,false,0},//. </v>
      </c>
      <c r="AD109" s="12" t="str">
        <f t="shared" si="48"/>
        <v/>
      </c>
      <c r="AE109" s="12" t="str">
        <f t="shared" si="49"/>
        <v/>
      </c>
      <c r="AH109" s="12" t="str">
        <f t="shared" si="50"/>
        <v/>
      </c>
      <c r="AI109" s="12" t="str">
        <f t="shared" si="51"/>
        <v/>
      </c>
      <c r="AJ109" s="12" t="str">
        <f t="shared" si="52"/>
        <v/>
      </c>
    </row>
    <row r="110" spans="1:36" x14ac:dyDescent="0.25">
      <c r="A110" s="17">
        <f t="shared" si="54"/>
        <v>6</v>
      </c>
      <c r="B110" s="8" t="s">
        <v>32</v>
      </c>
      <c r="C110" s="4" t="s">
        <v>24</v>
      </c>
      <c r="D110" s="5" t="s">
        <v>0</v>
      </c>
      <c r="E110" s="5"/>
      <c r="F110" s="5" t="s">
        <v>1</v>
      </c>
      <c r="G110" s="5" t="s">
        <v>1</v>
      </c>
      <c r="H110" s="17" t="str">
        <f t="shared" si="47"/>
        <v>""</v>
      </c>
      <c r="I110" s="5" t="s">
        <v>46</v>
      </c>
      <c r="J110" s="5" t="s">
        <v>46</v>
      </c>
      <c r="K110" s="5" t="s">
        <v>46</v>
      </c>
      <c r="L110" s="5" t="s">
        <v>46</v>
      </c>
      <c r="M110" s="5" t="s">
        <v>22</v>
      </c>
      <c r="N110" s="8">
        <f t="shared" si="53"/>
        <v>3</v>
      </c>
      <c r="O110" s="5">
        <v>0</v>
      </c>
      <c r="P110" s="5">
        <v>0</v>
      </c>
      <c r="Q110" s="5" t="s">
        <v>23</v>
      </c>
      <c r="R110" s="5" t="s">
        <v>23</v>
      </c>
      <c r="S110" s="5" t="s">
        <v>23</v>
      </c>
      <c r="T110" s="5" t="s">
        <v>46</v>
      </c>
      <c r="U110" s="5" t="s">
        <v>46</v>
      </c>
      <c r="V110" s="5" t="s">
        <v>46</v>
      </c>
      <c r="W110" s="5">
        <v>0</v>
      </c>
      <c r="X110" s="10" t="s">
        <v>77</v>
      </c>
      <c r="Y110" s="10"/>
      <c r="Z110" s="10"/>
      <c r="AB110" s="2" t="str">
        <f t="shared" si="55"/>
        <v xml:space="preserve">/*6*/{" ","","","","",false,false,false,false,10.0,3,0,0,0.0,0.0,0.0,false,false,false,0},//. </v>
      </c>
      <c r="AD110" s="12" t="str">
        <f t="shared" si="48"/>
        <v/>
      </c>
      <c r="AE110" s="12" t="str">
        <f t="shared" si="49"/>
        <v/>
      </c>
      <c r="AH110" s="12" t="str">
        <f t="shared" si="50"/>
        <v/>
      </c>
      <c r="AI110" s="12" t="str">
        <f t="shared" si="51"/>
        <v/>
      </c>
      <c r="AJ110" s="12" t="str">
        <f t="shared" si="52"/>
        <v/>
      </c>
    </row>
    <row r="111" spans="1:36" x14ac:dyDescent="0.25">
      <c r="A111" s="17">
        <f t="shared" si="54"/>
        <v>7</v>
      </c>
      <c r="B111" s="8" t="s">
        <v>33</v>
      </c>
      <c r="C111" s="4" t="s">
        <v>24</v>
      </c>
      <c r="D111" s="5" t="s">
        <v>0</v>
      </c>
      <c r="E111" s="5"/>
      <c r="F111" s="5" t="s">
        <v>1</v>
      </c>
      <c r="G111" s="5" t="s">
        <v>1</v>
      </c>
      <c r="H111" s="17" t="str">
        <f t="shared" si="47"/>
        <v>""</v>
      </c>
      <c r="I111" s="5" t="s">
        <v>46</v>
      </c>
      <c r="J111" s="5" t="s">
        <v>46</v>
      </c>
      <c r="K111" s="5" t="s">
        <v>46</v>
      </c>
      <c r="L111" s="5" t="s">
        <v>46</v>
      </c>
      <c r="M111" s="5" t="s">
        <v>22</v>
      </c>
      <c r="N111" s="8">
        <f t="shared" si="53"/>
        <v>3</v>
      </c>
      <c r="O111" s="5">
        <v>0</v>
      </c>
      <c r="P111" s="5">
        <v>0</v>
      </c>
      <c r="Q111" s="5" t="s">
        <v>23</v>
      </c>
      <c r="R111" s="5" t="s">
        <v>23</v>
      </c>
      <c r="S111" s="5" t="s">
        <v>23</v>
      </c>
      <c r="T111" s="5" t="s">
        <v>46</v>
      </c>
      <c r="U111" s="5" t="s">
        <v>46</v>
      </c>
      <c r="V111" s="5" t="s">
        <v>46</v>
      </c>
      <c r="W111" s="5">
        <v>0</v>
      </c>
      <c r="X111" s="10" t="s">
        <v>77</v>
      </c>
      <c r="Y111" s="10"/>
      <c r="Z111" s="10"/>
      <c r="AB111" s="2" t="str">
        <f t="shared" si="55"/>
        <v xml:space="preserve">/*7*/{" ","","","","",false,false,false,false,10.0,3,0,0,0.0,0.0,0.0,false,false,false,0},//. </v>
      </c>
      <c r="AD111" s="12" t="str">
        <f t="shared" si="48"/>
        <v/>
      </c>
      <c r="AE111" s="12" t="str">
        <f t="shared" si="49"/>
        <v/>
      </c>
      <c r="AH111" s="12" t="str">
        <f t="shared" si="50"/>
        <v/>
      </c>
      <c r="AI111" s="12" t="str">
        <f t="shared" si="51"/>
        <v/>
      </c>
      <c r="AJ111" s="12" t="str">
        <f t="shared" si="52"/>
        <v/>
      </c>
    </row>
    <row r="112" spans="1:36" x14ac:dyDescent="0.25">
      <c r="A112" s="17">
        <f t="shared" si="54"/>
        <v>8</v>
      </c>
      <c r="B112" s="8" t="s">
        <v>34</v>
      </c>
      <c r="C112" s="4" t="s">
        <v>24</v>
      </c>
      <c r="D112" s="5" t="s">
        <v>0</v>
      </c>
      <c r="E112" s="5"/>
      <c r="F112" s="5" t="s">
        <v>1</v>
      </c>
      <c r="G112" s="5" t="s">
        <v>1</v>
      </c>
      <c r="H112" s="17" t="str">
        <f t="shared" si="47"/>
        <v>""</v>
      </c>
      <c r="I112" s="5" t="s">
        <v>46</v>
      </c>
      <c r="J112" s="5" t="s">
        <v>46</v>
      </c>
      <c r="K112" s="5" t="s">
        <v>46</v>
      </c>
      <c r="L112" s="5" t="s">
        <v>46</v>
      </c>
      <c r="M112" s="5" t="s">
        <v>22</v>
      </c>
      <c r="N112" s="8">
        <f t="shared" si="53"/>
        <v>3</v>
      </c>
      <c r="O112" s="5">
        <v>0</v>
      </c>
      <c r="P112" s="5">
        <v>0</v>
      </c>
      <c r="Q112" s="5" t="s">
        <v>23</v>
      </c>
      <c r="R112" s="5" t="s">
        <v>23</v>
      </c>
      <c r="S112" s="5" t="s">
        <v>23</v>
      </c>
      <c r="T112" s="5" t="s">
        <v>46</v>
      </c>
      <c r="U112" s="5" t="s">
        <v>46</v>
      </c>
      <c r="V112" s="5" t="s">
        <v>46</v>
      </c>
      <c r="W112" s="5">
        <v>0</v>
      </c>
      <c r="X112" s="10" t="s">
        <v>77</v>
      </c>
      <c r="Y112" s="10"/>
      <c r="Z112" s="10"/>
      <c r="AB112" s="2" t="str">
        <f t="shared" si="55"/>
        <v xml:space="preserve">/*8*/{" ","","","","",false,false,false,false,10.0,3,0,0,0.0,0.0,0.0,false,false,false,0},//. </v>
      </c>
      <c r="AD112" s="12" t="str">
        <f t="shared" si="48"/>
        <v/>
      </c>
      <c r="AE112" s="12" t="str">
        <f t="shared" si="49"/>
        <v/>
      </c>
      <c r="AH112" s="12" t="str">
        <f t="shared" si="50"/>
        <v/>
      </c>
      <c r="AI112" s="12" t="str">
        <f t="shared" si="51"/>
        <v/>
      </c>
      <c r="AJ112" s="12" t="str">
        <f t="shared" si="52"/>
        <v/>
      </c>
    </row>
    <row r="113" spans="1:36" x14ac:dyDescent="0.25">
      <c r="A113" s="17">
        <f t="shared" si="54"/>
        <v>9</v>
      </c>
      <c r="B113" s="8" t="s">
        <v>35</v>
      </c>
      <c r="C113" s="4" t="s">
        <v>24</v>
      </c>
      <c r="D113" s="5" t="s">
        <v>0</v>
      </c>
      <c r="E113" s="5"/>
      <c r="F113" s="5" t="s">
        <v>1</v>
      </c>
      <c r="G113" s="5" t="s">
        <v>1</v>
      </c>
      <c r="H113" s="17" t="str">
        <f t="shared" si="47"/>
        <v>""</v>
      </c>
      <c r="I113" s="5" t="s">
        <v>46</v>
      </c>
      <c r="J113" s="5" t="s">
        <v>46</v>
      </c>
      <c r="K113" s="5" t="s">
        <v>46</v>
      </c>
      <c r="L113" s="5" t="s">
        <v>46</v>
      </c>
      <c r="M113" s="5" t="s">
        <v>22</v>
      </c>
      <c r="N113" s="8">
        <f t="shared" si="53"/>
        <v>3</v>
      </c>
      <c r="O113" s="5">
        <v>0</v>
      </c>
      <c r="P113" s="5">
        <v>0</v>
      </c>
      <c r="Q113" s="5" t="s">
        <v>23</v>
      </c>
      <c r="R113" s="5" t="s">
        <v>23</v>
      </c>
      <c r="S113" s="5" t="s">
        <v>23</v>
      </c>
      <c r="T113" s="5" t="s">
        <v>46</v>
      </c>
      <c r="U113" s="5" t="s">
        <v>46</v>
      </c>
      <c r="V113" s="5" t="s">
        <v>46</v>
      </c>
      <c r="W113" s="5">
        <v>0</v>
      </c>
      <c r="X113" s="10" t="s">
        <v>77</v>
      </c>
      <c r="Y113" s="10"/>
      <c r="Z113" s="10"/>
      <c r="AB113" s="2" t="str">
        <f t="shared" si="55"/>
        <v xml:space="preserve">/*9*/{" ","","","","",false,false,false,false,10.0,3,0,0,0.0,0.0,0.0,false,false,false,0},//. </v>
      </c>
      <c r="AD113" s="12" t="str">
        <f t="shared" si="48"/>
        <v/>
      </c>
      <c r="AE113" s="12" t="str">
        <f t="shared" si="49"/>
        <v/>
      </c>
      <c r="AH113" s="12" t="str">
        <f t="shared" si="50"/>
        <v/>
      </c>
      <c r="AI113" s="12" t="str">
        <f t="shared" si="51"/>
        <v/>
      </c>
      <c r="AJ113" s="12" t="str">
        <f t="shared" si="52"/>
        <v/>
      </c>
    </row>
    <row r="114" spans="1:36" x14ac:dyDescent="0.25">
      <c r="A114" s="17">
        <f t="shared" si="54"/>
        <v>10</v>
      </c>
      <c r="B114" s="8" t="s">
        <v>36</v>
      </c>
      <c r="C114" s="4" t="s">
        <v>24</v>
      </c>
      <c r="D114" s="5" t="s">
        <v>0</v>
      </c>
      <c r="E114" s="5"/>
      <c r="F114" s="5" t="s">
        <v>1</v>
      </c>
      <c r="G114" s="5" t="s">
        <v>1</v>
      </c>
      <c r="H114" s="17" t="str">
        <f t="shared" si="47"/>
        <v>""</v>
      </c>
      <c r="I114" s="5" t="s">
        <v>46</v>
      </c>
      <c r="J114" s="5" t="s">
        <v>46</v>
      </c>
      <c r="K114" s="5" t="s">
        <v>46</v>
      </c>
      <c r="L114" s="5" t="s">
        <v>46</v>
      </c>
      <c r="M114" s="5" t="s">
        <v>22</v>
      </c>
      <c r="N114" s="8">
        <f t="shared" si="53"/>
        <v>3</v>
      </c>
      <c r="O114" s="5">
        <v>0</v>
      </c>
      <c r="P114" s="5">
        <v>0</v>
      </c>
      <c r="Q114" s="5" t="s">
        <v>23</v>
      </c>
      <c r="R114" s="5" t="s">
        <v>23</v>
      </c>
      <c r="S114" s="5" t="s">
        <v>23</v>
      </c>
      <c r="T114" s="5" t="s">
        <v>46</v>
      </c>
      <c r="U114" s="5" t="s">
        <v>46</v>
      </c>
      <c r="V114" s="5" t="s">
        <v>46</v>
      </c>
      <c r="W114" s="5">
        <v>0</v>
      </c>
      <c r="X114" s="10" t="s">
        <v>77</v>
      </c>
      <c r="Y114" s="10"/>
      <c r="Z114" s="10"/>
      <c r="AB114" s="2" t="str">
        <f t="shared" si="55"/>
        <v xml:space="preserve">/*10*/{" ","","","","",false,false,false,false,10.0,3,0,0,0.0,0.0,0.0,false,false,false,0},//. </v>
      </c>
      <c r="AD114" s="12" t="str">
        <f t="shared" si="48"/>
        <v/>
      </c>
      <c r="AE114" s="12" t="str">
        <f t="shared" si="49"/>
        <v/>
      </c>
      <c r="AH114" s="12" t="str">
        <f t="shared" si="50"/>
        <v/>
      </c>
      <c r="AI114" s="12" t="str">
        <f t="shared" si="51"/>
        <v/>
      </c>
      <c r="AJ114" s="12" t="str">
        <f t="shared" si="52"/>
        <v/>
      </c>
    </row>
    <row r="115" spans="1:36" x14ac:dyDescent="0.25">
      <c r="A115" s="17">
        <f t="shared" si="54"/>
        <v>11</v>
      </c>
      <c r="B115" s="8" t="s">
        <v>37</v>
      </c>
      <c r="C115" s="4" t="s">
        <v>24</v>
      </c>
      <c r="D115" s="5" t="s">
        <v>0</v>
      </c>
      <c r="E115" s="5"/>
      <c r="F115" s="5" t="s">
        <v>1</v>
      </c>
      <c r="G115" s="5" t="s">
        <v>1</v>
      </c>
      <c r="H115" s="17" t="str">
        <f t="shared" si="47"/>
        <v>""</v>
      </c>
      <c r="I115" s="5" t="s">
        <v>46</v>
      </c>
      <c r="J115" s="5" t="s">
        <v>46</v>
      </c>
      <c r="K115" s="5" t="s">
        <v>46</v>
      </c>
      <c r="L115" s="5" t="s">
        <v>46</v>
      </c>
      <c r="M115" s="5" t="s">
        <v>22</v>
      </c>
      <c r="N115" s="8">
        <f t="shared" ref="N115:N123" si="56">N114</f>
        <v>3</v>
      </c>
      <c r="O115" s="5">
        <v>0</v>
      </c>
      <c r="P115" s="5">
        <v>0</v>
      </c>
      <c r="Q115" s="5" t="s">
        <v>23</v>
      </c>
      <c r="R115" s="5" t="s">
        <v>23</v>
      </c>
      <c r="S115" s="5" t="s">
        <v>23</v>
      </c>
      <c r="T115" s="5" t="s">
        <v>46</v>
      </c>
      <c r="U115" s="5" t="s">
        <v>46</v>
      </c>
      <c r="V115" s="5" t="s">
        <v>46</v>
      </c>
      <c r="W115" s="5">
        <v>0</v>
      </c>
      <c r="X115" s="10" t="s">
        <v>77</v>
      </c>
      <c r="Y115" s="10"/>
      <c r="Z115" s="10"/>
      <c r="AB115" s="2" t="str">
        <f t="shared" si="55"/>
        <v xml:space="preserve">/*11*/{" ","","","","",false,false,false,false,10.0,3,0,0,0.0,0.0,0.0,false,false,false,0},//. </v>
      </c>
      <c r="AD115" s="12" t="str">
        <f t="shared" si="48"/>
        <v/>
      </c>
      <c r="AE115" s="12" t="str">
        <f t="shared" si="49"/>
        <v/>
      </c>
      <c r="AH115" s="12" t="str">
        <f t="shared" si="50"/>
        <v/>
      </c>
      <c r="AI115" s="12" t="str">
        <f t="shared" si="51"/>
        <v/>
      </c>
      <c r="AJ115" s="12" t="str">
        <f t="shared" si="52"/>
        <v/>
      </c>
    </row>
    <row r="116" spans="1:36" x14ac:dyDescent="0.25">
      <c r="A116" s="17">
        <f t="shared" si="54"/>
        <v>12</v>
      </c>
      <c r="B116" s="8" t="s">
        <v>38</v>
      </c>
      <c r="C116" s="4" t="s">
        <v>24</v>
      </c>
      <c r="D116" s="5" t="s">
        <v>0</v>
      </c>
      <c r="E116" s="5"/>
      <c r="F116" s="5" t="s">
        <v>1</v>
      </c>
      <c r="G116" s="5" t="s">
        <v>1</v>
      </c>
      <c r="H116" s="17" t="str">
        <f t="shared" si="47"/>
        <v>""</v>
      </c>
      <c r="I116" s="5" t="s">
        <v>46</v>
      </c>
      <c r="J116" s="5" t="s">
        <v>46</v>
      </c>
      <c r="K116" s="5" t="s">
        <v>46</v>
      </c>
      <c r="L116" s="5" t="s">
        <v>46</v>
      </c>
      <c r="M116" s="5" t="s">
        <v>22</v>
      </c>
      <c r="N116" s="8">
        <f t="shared" si="56"/>
        <v>3</v>
      </c>
      <c r="O116" s="5">
        <v>0</v>
      </c>
      <c r="P116" s="5">
        <v>0</v>
      </c>
      <c r="Q116" s="5" t="s">
        <v>23</v>
      </c>
      <c r="R116" s="5" t="s">
        <v>23</v>
      </c>
      <c r="S116" s="5" t="s">
        <v>23</v>
      </c>
      <c r="T116" s="5" t="s">
        <v>46</v>
      </c>
      <c r="U116" s="5" t="s">
        <v>46</v>
      </c>
      <c r="V116" s="5" t="s">
        <v>46</v>
      </c>
      <c r="W116" s="5">
        <v>0</v>
      </c>
      <c r="X116" s="10" t="s">
        <v>77</v>
      </c>
      <c r="Y116" s="10"/>
      <c r="Z116" s="10"/>
      <c r="AB116" s="2" t="str">
        <f t="shared" si="55"/>
        <v xml:space="preserve">/*12*/{" ","","","","",false,false,false,false,10.0,3,0,0,0.0,0.0,0.0,false,false,false,0},//. </v>
      </c>
      <c r="AD116" s="12" t="str">
        <f t="shared" si="48"/>
        <v/>
      </c>
      <c r="AE116" s="12" t="str">
        <f t="shared" si="49"/>
        <v/>
      </c>
      <c r="AH116" s="12" t="str">
        <f t="shared" si="50"/>
        <v/>
      </c>
      <c r="AI116" s="12" t="str">
        <f t="shared" si="51"/>
        <v/>
      </c>
      <c r="AJ116" s="12" t="str">
        <f t="shared" si="52"/>
        <v/>
      </c>
    </row>
    <row r="117" spans="1:36" x14ac:dyDescent="0.25">
      <c r="A117" s="17">
        <f t="shared" si="54"/>
        <v>13</v>
      </c>
      <c r="B117" s="8" t="s">
        <v>39</v>
      </c>
      <c r="C117" s="4" t="s">
        <v>24</v>
      </c>
      <c r="D117" s="5" t="s">
        <v>0</v>
      </c>
      <c r="E117" s="5"/>
      <c r="F117" s="5" t="s">
        <v>1</v>
      </c>
      <c r="G117" s="5" t="s">
        <v>1</v>
      </c>
      <c r="H117" s="17" t="str">
        <f t="shared" si="47"/>
        <v>""</v>
      </c>
      <c r="I117" s="5" t="s">
        <v>46</v>
      </c>
      <c r="J117" s="5" t="s">
        <v>46</v>
      </c>
      <c r="K117" s="5" t="s">
        <v>46</v>
      </c>
      <c r="L117" s="5" t="s">
        <v>46</v>
      </c>
      <c r="M117" s="5" t="s">
        <v>22</v>
      </c>
      <c r="N117" s="8">
        <f t="shared" si="56"/>
        <v>3</v>
      </c>
      <c r="O117" s="5">
        <v>0</v>
      </c>
      <c r="P117" s="5">
        <v>0</v>
      </c>
      <c r="Q117" s="5" t="s">
        <v>23</v>
      </c>
      <c r="R117" s="5" t="s">
        <v>23</v>
      </c>
      <c r="S117" s="5" t="s">
        <v>23</v>
      </c>
      <c r="T117" s="5" t="s">
        <v>46</v>
      </c>
      <c r="U117" s="5" t="s">
        <v>46</v>
      </c>
      <c r="V117" s="5" t="s">
        <v>46</v>
      </c>
      <c r="W117" s="5">
        <v>0</v>
      </c>
      <c r="X117" s="10" t="s">
        <v>77</v>
      </c>
      <c r="Y117" s="10"/>
      <c r="Z117" s="10"/>
      <c r="AB117" s="2" t="str">
        <f t="shared" si="55"/>
        <v xml:space="preserve">/*13*/{" ","","","","",false,false,false,false,10.0,3,0,0,0.0,0.0,0.0,false,false,false,0},//. </v>
      </c>
      <c r="AD117" s="12" t="str">
        <f t="shared" si="48"/>
        <v/>
      </c>
      <c r="AE117" s="12" t="str">
        <f t="shared" si="49"/>
        <v/>
      </c>
      <c r="AH117" s="12" t="str">
        <f t="shared" si="50"/>
        <v/>
      </c>
      <c r="AI117" s="12" t="str">
        <f t="shared" si="51"/>
        <v/>
      </c>
      <c r="AJ117" s="12" t="str">
        <f t="shared" si="52"/>
        <v/>
      </c>
    </row>
    <row r="118" spans="1:36" x14ac:dyDescent="0.25">
      <c r="A118" s="17">
        <f t="shared" si="54"/>
        <v>14</v>
      </c>
      <c r="B118" s="8" t="s">
        <v>40</v>
      </c>
      <c r="C118" s="4" t="s">
        <v>24</v>
      </c>
      <c r="D118" s="5" t="s">
        <v>0</v>
      </c>
      <c r="E118" s="5"/>
      <c r="F118" s="5" t="s">
        <v>1</v>
      </c>
      <c r="G118" s="5" t="s">
        <v>1</v>
      </c>
      <c r="H118" s="17" t="str">
        <f t="shared" si="47"/>
        <v>""</v>
      </c>
      <c r="I118" s="5" t="s">
        <v>46</v>
      </c>
      <c r="J118" s="5" t="s">
        <v>46</v>
      </c>
      <c r="K118" s="5" t="s">
        <v>46</v>
      </c>
      <c r="L118" s="5" t="s">
        <v>46</v>
      </c>
      <c r="M118" s="5" t="s">
        <v>22</v>
      </c>
      <c r="N118" s="8">
        <f t="shared" si="56"/>
        <v>3</v>
      </c>
      <c r="O118" s="5">
        <v>0</v>
      </c>
      <c r="P118" s="5">
        <v>0</v>
      </c>
      <c r="Q118" s="5" t="s">
        <v>23</v>
      </c>
      <c r="R118" s="5" t="s">
        <v>23</v>
      </c>
      <c r="S118" s="5" t="s">
        <v>23</v>
      </c>
      <c r="T118" s="5" t="s">
        <v>46</v>
      </c>
      <c r="U118" s="5" t="s">
        <v>46</v>
      </c>
      <c r="V118" s="5" t="s">
        <v>46</v>
      </c>
      <c r="W118" s="5">
        <v>0</v>
      </c>
      <c r="X118" s="10" t="s">
        <v>77</v>
      </c>
      <c r="Y118" s="10"/>
      <c r="Z118" s="10"/>
      <c r="AB118" s="2" t="str">
        <f t="shared" si="55"/>
        <v xml:space="preserve">/*14*/{" ","","","","",false,false,false,false,10.0,3,0,0,0.0,0.0,0.0,false,false,false,0},//. </v>
      </c>
      <c r="AD118" s="12" t="str">
        <f t="shared" si="48"/>
        <v/>
      </c>
      <c r="AE118" s="12" t="str">
        <f t="shared" si="49"/>
        <v/>
      </c>
      <c r="AH118" s="12" t="str">
        <f t="shared" si="50"/>
        <v/>
      </c>
      <c r="AI118" s="12" t="str">
        <f t="shared" si="51"/>
        <v/>
      </c>
      <c r="AJ118" s="12" t="str">
        <f t="shared" si="52"/>
        <v/>
      </c>
    </row>
    <row r="119" spans="1:36" x14ac:dyDescent="0.25">
      <c r="A119" s="17">
        <f t="shared" si="54"/>
        <v>15</v>
      </c>
      <c r="B119" s="8" t="s">
        <v>41</v>
      </c>
      <c r="C119" s="4" t="s">
        <v>24</v>
      </c>
      <c r="D119" s="5" t="s">
        <v>0</v>
      </c>
      <c r="E119" s="5"/>
      <c r="F119" s="5" t="s">
        <v>1</v>
      </c>
      <c r="G119" s="5" t="s">
        <v>1</v>
      </c>
      <c r="H119" s="17" t="str">
        <f t="shared" si="47"/>
        <v>""</v>
      </c>
      <c r="I119" s="5" t="s">
        <v>46</v>
      </c>
      <c r="J119" s="5" t="s">
        <v>46</v>
      </c>
      <c r="K119" s="5" t="s">
        <v>46</v>
      </c>
      <c r="L119" s="5" t="s">
        <v>46</v>
      </c>
      <c r="M119" s="5" t="s">
        <v>22</v>
      </c>
      <c r="N119" s="8">
        <f t="shared" si="56"/>
        <v>3</v>
      </c>
      <c r="O119" s="5">
        <v>0</v>
      </c>
      <c r="P119" s="5">
        <v>0</v>
      </c>
      <c r="Q119" s="5" t="s">
        <v>23</v>
      </c>
      <c r="R119" s="5" t="s">
        <v>23</v>
      </c>
      <c r="S119" s="5" t="s">
        <v>23</v>
      </c>
      <c r="T119" s="5" t="s">
        <v>46</v>
      </c>
      <c r="U119" s="5" t="s">
        <v>46</v>
      </c>
      <c r="V119" s="5" t="s">
        <v>46</v>
      </c>
      <c r="W119" s="5">
        <v>0</v>
      </c>
      <c r="X119" s="10" t="s">
        <v>77</v>
      </c>
      <c r="Y119" s="10"/>
      <c r="Z119" s="10"/>
      <c r="AB119" s="2" t="str">
        <f t="shared" si="55"/>
        <v xml:space="preserve">/*15*/{" ","","","","",false,false,false,false,10.0,3,0,0,0.0,0.0,0.0,false,false,false,0},//. </v>
      </c>
      <c r="AD119" s="12" t="str">
        <f t="shared" si="48"/>
        <v/>
      </c>
      <c r="AE119" s="12" t="str">
        <f t="shared" si="49"/>
        <v/>
      </c>
      <c r="AH119" s="12" t="str">
        <f t="shared" si="50"/>
        <v/>
      </c>
      <c r="AI119" s="12" t="str">
        <f t="shared" si="51"/>
        <v/>
      </c>
      <c r="AJ119" s="12" t="str">
        <f t="shared" si="52"/>
        <v/>
      </c>
    </row>
    <row r="120" spans="1:36" x14ac:dyDescent="0.25">
      <c r="A120" s="17">
        <f t="shared" si="54"/>
        <v>16</v>
      </c>
      <c r="B120" s="8" t="s">
        <v>42</v>
      </c>
      <c r="C120" s="4" t="s">
        <v>24</v>
      </c>
      <c r="D120" s="5" t="s">
        <v>0</v>
      </c>
      <c r="E120" s="5"/>
      <c r="F120" s="5" t="s">
        <v>1</v>
      </c>
      <c r="G120" s="5" t="s">
        <v>1</v>
      </c>
      <c r="H120" s="17" t="str">
        <f t="shared" si="47"/>
        <v>""</v>
      </c>
      <c r="I120" s="5" t="s">
        <v>46</v>
      </c>
      <c r="J120" s="5" t="s">
        <v>46</v>
      </c>
      <c r="K120" s="5" t="s">
        <v>46</v>
      </c>
      <c r="L120" s="5" t="s">
        <v>46</v>
      </c>
      <c r="M120" s="5" t="s">
        <v>22</v>
      </c>
      <c r="N120" s="8">
        <f t="shared" si="56"/>
        <v>3</v>
      </c>
      <c r="O120" s="5">
        <v>0</v>
      </c>
      <c r="P120" s="5">
        <v>0</v>
      </c>
      <c r="Q120" s="5" t="s">
        <v>23</v>
      </c>
      <c r="R120" s="5" t="s">
        <v>23</v>
      </c>
      <c r="S120" s="5" t="s">
        <v>23</v>
      </c>
      <c r="T120" s="5" t="s">
        <v>46</v>
      </c>
      <c r="U120" s="5" t="s">
        <v>46</v>
      </c>
      <c r="V120" s="5" t="s">
        <v>46</v>
      </c>
      <c r="W120" s="5">
        <v>0</v>
      </c>
      <c r="X120" s="10" t="s">
        <v>77</v>
      </c>
      <c r="Y120" s="10"/>
      <c r="Z120" s="10"/>
      <c r="AB120" s="2" t="str">
        <f t="shared" si="55"/>
        <v xml:space="preserve">/*16*/{" ","","","","",false,false,false,false,10.0,3,0,0,0.0,0.0,0.0,false,false,false,0},//. </v>
      </c>
      <c r="AD120" s="12" t="str">
        <f t="shared" si="48"/>
        <v/>
      </c>
      <c r="AE120" s="12" t="str">
        <f t="shared" si="49"/>
        <v/>
      </c>
      <c r="AH120" s="12" t="str">
        <f t="shared" si="50"/>
        <v/>
      </c>
      <c r="AI120" s="12" t="str">
        <f t="shared" si="51"/>
        <v/>
      </c>
      <c r="AJ120" s="12" t="str">
        <f t="shared" si="52"/>
        <v/>
      </c>
    </row>
    <row r="121" spans="1:36" x14ac:dyDescent="0.25">
      <c r="A121" s="17">
        <f t="shared" si="54"/>
        <v>17</v>
      </c>
      <c r="B121" s="8" t="s">
        <v>43</v>
      </c>
      <c r="C121" s="4" t="s">
        <v>24</v>
      </c>
      <c r="D121" s="5" t="s">
        <v>0</v>
      </c>
      <c r="E121" s="5"/>
      <c r="F121" s="5" t="s">
        <v>1</v>
      </c>
      <c r="G121" s="5" t="s">
        <v>1</v>
      </c>
      <c r="H121" s="17" t="str">
        <f t="shared" si="47"/>
        <v>""</v>
      </c>
      <c r="I121" s="5" t="s">
        <v>46</v>
      </c>
      <c r="J121" s="5" t="s">
        <v>46</v>
      </c>
      <c r="K121" s="5" t="s">
        <v>46</v>
      </c>
      <c r="L121" s="5" t="s">
        <v>46</v>
      </c>
      <c r="M121" s="5" t="s">
        <v>22</v>
      </c>
      <c r="N121" s="8">
        <f t="shared" si="56"/>
        <v>3</v>
      </c>
      <c r="O121" s="5">
        <v>0</v>
      </c>
      <c r="P121" s="5">
        <v>0</v>
      </c>
      <c r="Q121" s="5" t="s">
        <v>23</v>
      </c>
      <c r="R121" s="5" t="s">
        <v>23</v>
      </c>
      <c r="S121" s="5" t="s">
        <v>23</v>
      </c>
      <c r="T121" s="5" t="s">
        <v>46</v>
      </c>
      <c r="U121" s="5" t="s">
        <v>46</v>
      </c>
      <c r="V121" s="5" t="s">
        <v>46</v>
      </c>
      <c r="W121" s="5">
        <v>0</v>
      </c>
      <c r="X121" s="10" t="s">
        <v>77</v>
      </c>
      <c r="Y121" s="10"/>
      <c r="Z121" s="10"/>
      <c r="AB121" s="2" t="str">
        <f t="shared" si="55"/>
        <v xml:space="preserve">/*17*/{" ","","","","",false,false,false,false,10.0,3,0,0,0.0,0.0,0.0,false,false,false,0},//. </v>
      </c>
      <c r="AD121" s="12" t="str">
        <f t="shared" si="48"/>
        <v/>
      </c>
      <c r="AE121" s="12" t="str">
        <f t="shared" si="49"/>
        <v/>
      </c>
      <c r="AH121" s="12" t="str">
        <f t="shared" si="50"/>
        <v/>
      </c>
      <c r="AI121" s="12" t="str">
        <f t="shared" si="51"/>
        <v/>
      </c>
      <c r="AJ121" s="12" t="str">
        <f t="shared" si="52"/>
        <v/>
      </c>
    </row>
    <row r="122" spans="1:36" x14ac:dyDescent="0.25">
      <c r="A122" s="17">
        <f t="shared" si="54"/>
        <v>18</v>
      </c>
      <c r="B122" s="8" t="s">
        <v>44</v>
      </c>
      <c r="C122" s="4" t="s">
        <v>24</v>
      </c>
      <c r="D122" s="5" t="s">
        <v>0</v>
      </c>
      <c r="E122" s="5"/>
      <c r="F122" s="5" t="s">
        <v>1</v>
      </c>
      <c r="G122" s="5" t="s">
        <v>1</v>
      </c>
      <c r="H122" s="17" t="str">
        <f t="shared" si="47"/>
        <v>""</v>
      </c>
      <c r="I122" s="5" t="s">
        <v>46</v>
      </c>
      <c r="J122" s="5" t="s">
        <v>46</v>
      </c>
      <c r="K122" s="5" t="s">
        <v>46</v>
      </c>
      <c r="L122" s="5" t="s">
        <v>46</v>
      </c>
      <c r="M122" s="5" t="s">
        <v>22</v>
      </c>
      <c r="N122" s="8">
        <f t="shared" si="56"/>
        <v>3</v>
      </c>
      <c r="O122" s="5">
        <v>0</v>
      </c>
      <c r="P122" s="5">
        <v>0</v>
      </c>
      <c r="Q122" s="5" t="s">
        <v>23</v>
      </c>
      <c r="R122" s="5" t="s">
        <v>23</v>
      </c>
      <c r="S122" s="5" t="s">
        <v>23</v>
      </c>
      <c r="T122" s="5" t="s">
        <v>46</v>
      </c>
      <c r="U122" s="5" t="s">
        <v>46</v>
      </c>
      <c r="V122" s="5" t="s">
        <v>46</v>
      </c>
      <c r="W122" s="5">
        <v>0</v>
      </c>
      <c r="X122" s="10" t="s">
        <v>77</v>
      </c>
      <c r="Y122" s="10"/>
      <c r="Z122" s="10"/>
      <c r="AB122" s="2" t="str">
        <f t="shared" si="55"/>
        <v xml:space="preserve">/*18*/{" ","","","","",false,false,false,false,10.0,3,0,0,0.0,0.0,0.0,false,false,false,0},//. </v>
      </c>
      <c r="AD122" s="12" t="str">
        <f t="shared" si="48"/>
        <v/>
      </c>
      <c r="AE122" s="12" t="str">
        <f t="shared" si="49"/>
        <v/>
      </c>
      <c r="AH122" s="12" t="str">
        <f t="shared" si="50"/>
        <v/>
      </c>
      <c r="AI122" s="12" t="str">
        <f t="shared" si="51"/>
        <v/>
      </c>
      <c r="AJ122" s="12" t="str">
        <f t="shared" si="52"/>
        <v/>
      </c>
    </row>
    <row r="123" spans="1:36" x14ac:dyDescent="0.25">
      <c r="A123" s="17">
        <f t="shared" si="54"/>
        <v>19</v>
      </c>
      <c r="B123" s="8" t="s">
        <v>45</v>
      </c>
      <c r="C123" s="4" t="s">
        <v>24</v>
      </c>
      <c r="D123" s="5" t="s">
        <v>0</v>
      </c>
      <c r="E123" s="5"/>
      <c r="F123" s="5" t="s">
        <v>1</v>
      </c>
      <c r="G123" s="5" t="s">
        <v>1</v>
      </c>
      <c r="H123" s="17" t="str">
        <f t="shared" si="47"/>
        <v>""</v>
      </c>
      <c r="I123" s="5" t="s">
        <v>46</v>
      </c>
      <c r="J123" s="5" t="s">
        <v>46</v>
      </c>
      <c r="K123" s="5" t="s">
        <v>46</v>
      </c>
      <c r="L123" s="5" t="s">
        <v>46</v>
      </c>
      <c r="M123" s="5" t="s">
        <v>22</v>
      </c>
      <c r="N123" s="8">
        <f t="shared" si="56"/>
        <v>3</v>
      </c>
      <c r="O123" s="5">
        <v>0</v>
      </c>
      <c r="P123" s="5">
        <v>0</v>
      </c>
      <c r="Q123" s="5" t="s">
        <v>23</v>
      </c>
      <c r="R123" s="5" t="s">
        <v>23</v>
      </c>
      <c r="S123" s="5" t="s">
        <v>23</v>
      </c>
      <c r="T123" s="5" t="s">
        <v>46</v>
      </c>
      <c r="U123" s="5" t="s">
        <v>46</v>
      </c>
      <c r="V123" s="5" t="s">
        <v>46</v>
      </c>
      <c r="W123" s="5">
        <v>0</v>
      </c>
      <c r="X123" s="10" t="s">
        <v>77</v>
      </c>
      <c r="Y123" s="10"/>
      <c r="Z123" s="10"/>
      <c r="AB123" s="2" t="str">
        <f t="shared" si="55"/>
        <v xml:space="preserve">/*19*/{" ","","","","",false,false,false,false,10.0,3,0,0,0.0,0.0,0.0,false,false,false,0},//. </v>
      </c>
      <c r="AD123" s="12" t="str">
        <f>IF(X123="Да",CONCATENATE("float &amp;",SUBSTITUTE(Z123," ","")," = Screens[",$A$101,"][",A123,"].Param;// Ссылка. ",$Y$104,". ",Y123),"")</f>
        <v/>
      </c>
      <c r="AE123" s="12" t="str">
        <f t="shared" si="49"/>
        <v/>
      </c>
      <c r="AH123" s="12" t="str">
        <f>IF(X123="Да",CONCATENATE("Ref.",,SUBSTITUTE(Z123," ","")," = ",$AI$1,$B$101,SUBSTITUTE(E123," ",""),";//",$Y$104,". ",Y123),"")</f>
        <v/>
      </c>
      <c r="AI123" s="12" t="str">
        <f t="shared" si="51"/>
        <v/>
      </c>
      <c r="AJ123" s="12" t="str">
        <f>IF(X123="Да",CONCATENATE($AI$1,SUBSTITUTE(Z123," ","")," = ",M123,";//",$Y$104,". ",Y123),"")</f>
        <v/>
      </c>
    </row>
    <row r="124" spans="1:36" x14ac:dyDescent="0.25">
      <c r="AB124" s="3" t="s">
        <v>25</v>
      </c>
    </row>
    <row r="125" spans="1:36" x14ac:dyDescent="0.25">
      <c r="A125" s="14">
        <f>A101+1</f>
        <v>5</v>
      </c>
      <c r="B125" s="12">
        <f>E128</f>
        <v>0</v>
      </c>
      <c r="D125" s="7" t="s">
        <v>59</v>
      </c>
      <c r="AB125" s="3" t="s">
        <v>51</v>
      </c>
    </row>
    <row r="126" spans="1:36" ht="45" x14ac:dyDescent="0.25">
      <c r="A126" s="15" t="s">
        <v>78</v>
      </c>
      <c r="B126" s="18"/>
      <c r="C126" s="6" t="s">
        <v>25</v>
      </c>
      <c r="D126" s="6" t="s">
        <v>17</v>
      </c>
      <c r="E126" s="6" t="s">
        <v>18</v>
      </c>
      <c r="F126" s="6" t="s">
        <v>19</v>
      </c>
      <c r="G126" s="6" t="s">
        <v>20</v>
      </c>
      <c r="H126" s="6" t="s">
        <v>21</v>
      </c>
      <c r="I126" s="6" t="s">
        <v>2</v>
      </c>
      <c r="J126" s="6" t="s">
        <v>3</v>
      </c>
      <c r="K126" s="6" t="s">
        <v>4</v>
      </c>
      <c r="L126" s="6" t="s">
        <v>5</v>
      </c>
      <c r="M126" s="6" t="s">
        <v>6</v>
      </c>
      <c r="N126" s="6" t="s">
        <v>7</v>
      </c>
      <c r="O126" s="6" t="s">
        <v>8</v>
      </c>
      <c r="P126" s="6" t="s">
        <v>9</v>
      </c>
      <c r="Q126" s="6" t="s">
        <v>10</v>
      </c>
      <c r="R126" s="6" t="s">
        <v>11</v>
      </c>
      <c r="S126" s="6" t="s">
        <v>12</v>
      </c>
      <c r="T126" s="6" t="s">
        <v>13</v>
      </c>
      <c r="U126" s="6" t="s">
        <v>14</v>
      </c>
      <c r="V126" s="6" t="s">
        <v>15</v>
      </c>
      <c r="W126" s="6" t="s">
        <v>16</v>
      </c>
      <c r="X126" s="6" t="s">
        <v>76</v>
      </c>
      <c r="Y126" s="6" t="s">
        <v>80</v>
      </c>
      <c r="Z126" s="6" t="s">
        <v>97</v>
      </c>
      <c r="AA126" s="1"/>
      <c r="AB126" s="2" t="str">
        <f>CONCATENATE(D125," - ",E128)</f>
        <v xml:space="preserve">//Экран 5 - </v>
      </c>
      <c r="AD126" s="19" t="s">
        <v>81</v>
      </c>
      <c r="AE126" s="19" t="s">
        <v>82</v>
      </c>
      <c r="AF126" s="5"/>
      <c r="AG126" s="5"/>
      <c r="AH126" s="19" t="s">
        <v>83</v>
      </c>
      <c r="AI126" s="19" t="s">
        <v>84</v>
      </c>
      <c r="AJ126" s="19" t="s">
        <v>85</v>
      </c>
    </row>
    <row r="127" spans="1:36" x14ac:dyDescent="0.25">
      <c r="A127" s="16"/>
      <c r="B127" s="13"/>
      <c r="C127" s="4" t="s">
        <v>24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11"/>
      <c r="Y127" s="11"/>
      <c r="Z127" s="11"/>
      <c r="AA127" s="1"/>
      <c r="AB127" s="3" t="str">
        <f>C127</f>
        <v>{</v>
      </c>
    </row>
    <row r="128" spans="1:36" x14ac:dyDescent="0.25">
      <c r="A128" s="17">
        <v>0</v>
      </c>
      <c r="B128" s="8" t="s">
        <v>27</v>
      </c>
      <c r="C128" s="4" t="s">
        <v>24</v>
      </c>
      <c r="D128" s="5" t="s">
        <v>0</v>
      </c>
      <c r="E128" s="5"/>
      <c r="F128" s="5" t="s">
        <v>1</v>
      </c>
      <c r="G128" s="5" t="s">
        <v>1</v>
      </c>
      <c r="H128" s="17" t="str">
        <f t="shared" ref="H128:H145" si="57">IF(AND(I128="true",J128="false"),""" ""","""""")</f>
        <v>""</v>
      </c>
      <c r="I128" s="5" t="s">
        <v>46</v>
      </c>
      <c r="J128" s="5" t="s">
        <v>46</v>
      </c>
      <c r="K128" s="5" t="s">
        <v>46</v>
      </c>
      <c r="L128" s="5" t="s">
        <v>46</v>
      </c>
      <c r="M128" s="5" t="s">
        <v>22</v>
      </c>
      <c r="N128" s="8">
        <v>6</v>
      </c>
      <c r="O128" s="5">
        <v>0</v>
      </c>
      <c r="P128" s="5" t="s">
        <v>99</v>
      </c>
      <c r="Q128" s="5" t="s">
        <v>23</v>
      </c>
      <c r="R128" s="5" t="s">
        <v>23</v>
      </c>
      <c r="S128" s="5" t="s">
        <v>23</v>
      </c>
      <c r="T128" s="5" t="s">
        <v>46</v>
      </c>
      <c r="U128" s="5" t="s">
        <v>46</v>
      </c>
      <c r="V128" s="5" t="s">
        <v>46</v>
      </c>
      <c r="W128" s="5">
        <v>0</v>
      </c>
      <c r="X128" s="10" t="s">
        <v>77</v>
      </c>
      <c r="Y128" s="10"/>
      <c r="Z128" s="10"/>
      <c r="AB128" s="2" t="str">
        <f>CONCATENATE(B128,C128,D128,",""",E128,""",",F128,",",G128,",",H128,",",I128,",",J128,",",K128,",",L128,",",M128,",",N128,",",O128,",",P128,",",Q128,",",R128,",",S128,",",T128,",",U128,",",V128,",",W128,"},//",Y128)</f>
        <v>/*0*/{" ","","","","",false,false,false,false,10.0,6,0,6,0.0,0.0,0.0,false,false,false,0},//</v>
      </c>
      <c r="AD128" s="12" t="str">
        <f>IF(X128="Да",IF(T128="false",CONCATENATE("float &amp;",SUBSTITUTE(Z128," ","")," = Screens[",$A$125,"][",A128,"].Param;// Ссылка. ",$Y$128,". ",Y128),CONCATENATE("bool &amp;",SUBSTITUTE(Z128," ","")," = Screens[",$A$125,"][",A128,"].BoolParam;// Ссылка. ",$Y$128,". ",Y128)),"")</f>
        <v/>
      </c>
      <c r="AE128" s="12" t="str">
        <f t="shared" ref="AE128:AE147" si="58">IF(X128="Да",IF(T128="false",CONCATENATE("float ",SUBSTITUTE(Z128," ",""),"; //",$Y$128,". ",Y128),CONCATENATE("bool ",SUBSTITUTE(Z128," ",""),"; //",$Y$128,". ",Y128)),"")</f>
        <v/>
      </c>
      <c r="AH128" s="12" t="str">
        <f>IF(X128="Да",CONCATENATE("Ref.",,SUBSTITUTE(Z128," ","")," = ",$AI$1,SUBSTITUTE(Z128," ",""),";//",$Y$128,". ",Y128),"")</f>
        <v/>
      </c>
      <c r="AI128" s="12" t="str">
        <f>IF(X128="Да",CONCATENATE($AI$1,SUBSTITUTE(Z128," ","")," = Ref.",SUBSTITUTE(Z128," ",""),";//",$Y$128,". ",Y128),"")</f>
        <v/>
      </c>
      <c r="AJ128" s="12" t="str">
        <f>IF(X128="Да",IF(T128="false",CONCATENATE($AI$1,SUBSTITUTE(Z128," ","")," = ",M128,";//",$Y$128,". ",Y128),CONCATENATE($AI$1,SUBSTITUTE(Z128," ","")," = ",U128,";//",$Y$128,". ",Y128)),"")</f>
        <v/>
      </c>
    </row>
    <row r="129" spans="1:36" x14ac:dyDescent="0.25">
      <c r="A129" s="17">
        <f>A128+1</f>
        <v>1</v>
      </c>
      <c r="B129" s="8" t="s">
        <v>26</v>
      </c>
      <c r="C129" s="4" t="s">
        <v>24</v>
      </c>
      <c r="D129" s="5" t="s">
        <v>0</v>
      </c>
      <c r="E129" s="5"/>
      <c r="F129" s="5" t="s">
        <v>1</v>
      </c>
      <c r="G129" s="5" t="s">
        <v>1</v>
      </c>
      <c r="H129" s="17" t="str">
        <f t="shared" si="57"/>
        <v>""</v>
      </c>
      <c r="I129" s="5" t="s">
        <v>46</v>
      </c>
      <c r="J129" s="5" t="s">
        <v>46</v>
      </c>
      <c r="K129" s="5" t="s">
        <v>46</v>
      </c>
      <c r="L129" s="5" t="s">
        <v>46</v>
      </c>
      <c r="M129" s="5" t="s">
        <v>22</v>
      </c>
      <c r="N129" s="8">
        <f t="shared" ref="N129:N145" si="59">N128</f>
        <v>6</v>
      </c>
      <c r="O129" s="5">
        <v>0</v>
      </c>
      <c r="P129" s="5">
        <v>0</v>
      </c>
      <c r="Q129" s="5" t="s">
        <v>23</v>
      </c>
      <c r="R129" s="5" t="s">
        <v>23</v>
      </c>
      <c r="S129" s="5" t="s">
        <v>23</v>
      </c>
      <c r="T129" s="5" t="s">
        <v>47</v>
      </c>
      <c r="U129" s="5" t="s">
        <v>46</v>
      </c>
      <c r="V129" s="5" t="s">
        <v>46</v>
      </c>
      <c r="W129" s="5">
        <v>0</v>
      </c>
      <c r="X129" s="10" t="s">
        <v>77</v>
      </c>
      <c r="Y129" s="10"/>
      <c r="Z129" s="10"/>
      <c r="AB129" s="2" t="str">
        <f>CONCATENATE(B129,C129,D129,",""",E129,""",",F129,",",G129,",",H129,",",I129,",",J129,",",K129,",",L129,",",M129,",",N129,",",O129,",",P129,",",Q129,",",R129,",",S129,",",T129,",",U129,",",V129,",",W129,"},//",Y$128,". ",Y129)</f>
        <v xml:space="preserve">/*1*/{" ","","","","",false,false,false,false,10.0,6,0,0,0.0,0.0,0.0,true,false,false,0},//. </v>
      </c>
      <c r="AD129" s="12" t="str">
        <f>IF(X129="Да",IF(T129="false",CONCATENATE("float &amp;",SUBSTITUTE(Z129," ","")," = Screens[",$A$125,"][",A129,"].Param;// Ссылка. ",$Y$128,". ",Y129),CONCATENATE("bool &amp;",SUBSTITUTE(Z129," ","")," = Screens[",$A$125,"][",A129,"].BoolParam;// Ссылка. ",$Y$128,". ",Y129)),"")</f>
        <v/>
      </c>
      <c r="AE129" s="12" t="str">
        <f t="shared" si="58"/>
        <v/>
      </c>
      <c r="AH129" s="12" t="str">
        <f>IF(X129="Да",CONCATENATE("Ref.",,SUBSTITUTE(Z129," ","")," = ",$AI$1,SUBSTITUTE(Z129," ",""),";//",$Y$128,". ",Y129),"")</f>
        <v/>
      </c>
      <c r="AI129" s="12" t="str">
        <f>IF(X129="Да",CONCATENATE($AI$1,SUBSTITUTE(Z129," ","")," = Ref.",SUBSTITUTE(Z129," ",""),";//",$Y$128,". ",Y129),"")</f>
        <v/>
      </c>
      <c r="AJ129" s="12" t="str">
        <f>IF(X129="Да",IF(T129="false",CONCATENATE($AI$1,SUBSTITUTE(Z129," ","")," = ",M129,";//",$Y$128,". ",Y129),CONCATENATE($AI$1,SUBSTITUTE(Z129," ","")," = ",U129,";//",$Y$128,". ",Y129)),"")</f>
        <v/>
      </c>
    </row>
    <row r="130" spans="1:36" x14ac:dyDescent="0.25">
      <c r="A130" s="17">
        <f t="shared" ref="A130:A147" si="60">A129+1</f>
        <v>2</v>
      </c>
      <c r="B130" s="8" t="s">
        <v>28</v>
      </c>
      <c r="C130" s="4" t="s">
        <v>24</v>
      </c>
      <c r="D130" s="5" t="s">
        <v>0</v>
      </c>
      <c r="E130" s="5"/>
      <c r="F130" s="5" t="s">
        <v>1</v>
      </c>
      <c r="G130" s="5" t="s">
        <v>1</v>
      </c>
      <c r="H130" s="17" t="str">
        <f t="shared" si="57"/>
        <v>""</v>
      </c>
      <c r="I130" s="5" t="s">
        <v>46</v>
      </c>
      <c r="J130" s="5" t="s">
        <v>46</v>
      </c>
      <c r="K130" s="5" t="s">
        <v>46</v>
      </c>
      <c r="L130" s="5" t="s">
        <v>46</v>
      </c>
      <c r="M130" s="5" t="s">
        <v>22</v>
      </c>
      <c r="N130" s="8">
        <f t="shared" si="59"/>
        <v>6</v>
      </c>
      <c r="O130" s="5">
        <v>0</v>
      </c>
      <c r="P130" s="5">
        <v>0</v>
      </c>
      <c r="Q130" s="5" t="s">
        <v>23</v>
      </c>
      <c r="R130" s="5" t="s">
        <v>23</v>
      </c>
      <c r="S130" s="5" t="s">
        <v>23</v>
      </c>
      <c r="T130" s="5" t="s">
        <v>47</v>
      </c>
      <c r="U130" s="5" t="s">
        <v>46</v>
      </c>
      <c r="V130" s="5" t="s">
        <v>46</v>
      </c>
      <c r="W130" s="5">
        <v>0</v>
      </c>
      <c r="X130" s="10" t="s">
        <v>96</v>
      </c>
      <c r="Y130" s="10"/>
      <c r="Z130" s="10"/>
      <c r="AB130" s="2" t="str">
        <f t="shared" ref="AB130:AB147" si="61">CONCATENATE(B130,C130,D130,",""",E130,""",",F130,",",G130,",",H130,",",I130,",",J130,",",K130,",",L130,",",M130,",",N130,",",O130,",",P130,",",Q130,",",R130,",",S130,",",T130,",",U130,",",V130,",",W130,"},//",Y$127,". ",Y130)</f>
        <v xml:space="preserve">/*2*/{" ","","","","",false,false,false,false,10.0,6,0,0,0.0,0.0,0.0,true,false,false,0},//. </v>
      </c>
      <c r="AD130" s="12" t="str">
        <f>IF(X130="Да",IF(T130="false",CONCATENATE("float &amp;",SUBSTITUTE(Z130," ","")," = Screens[",$A$125,"][",A130,"].Param;// Ссылка. ",$Y$128,". ",Y130),CONCATENATE("bool &amp;",SUBSTITUTE(Z130," ","")," = Screens[",$A$125,"][",A130,"].BoolParam;// Ссылка. ",$Y$128,". ",Y130)),"")</f>
        <v xml:space="preserve">bool &amp; = Screens[5][2].BoolParam;// Ссылка. . </v>
      </c>
      <c r="AE130" s="12" t="str">
        <f t="shared" si="58"/>
        <v xml:space="preserve">bool ; //. </v>
      </c>
      <c r="AH130" s="12" t="str">
        <f>IF(X130="Да",CONCATENATE("Ref.",,SUBSTITUTE(Z130," ","")," = ",$AI$1,SUBSTITUTE(Z130," ",""),";//",$Y$128,". ",Y130),"")</f>
        <v xml:space="preserve">Ref. = FlashMemory.;//. </v>
      </c>
      <c r="AI130" s="12" t="str">
        <f>IF(X130="Да",CONCATENATE($AI$1,SUBSTITUTE(Z130," ","")," = Ref.",SUBSTITUTE(Z130," ",""),";//",$Y$128,". ",Y130),"")</f>
        <v xml:space="preserve">FlashMemory. = Ref.;//. </v>
      </c>
      <c r="AJ130" s="12" t="str">
        <f>IF(X130="Да",IF(T130="false",CONCATENATE($AI$1,SUBSTITUTE(Z130," ","")," = ",M130,";//",$Y$128,". ",Y130),CONCATENATE($AI$1,SUBSTITUTE(Z130," ","")," = ",U130,";//",$Y$128,". ",Y130)),"")</f>
        <v xml:space="preserve">FlashMemory. = false;//. </v>
      </c>
    </row>
    <row r="131" spans="1:36" x14ac:dyDescent="0.25">
      <c r="A131" s="17">
        <f t="shared" si="60"/>
        <v>3</v>
      </c>
      <c r="B131" s="8" t="s">
        <v>29</v>
      </c>
      <c r="C131" s="4" t="s">
        <v>24</v>
      </c>
      <c r="D131" s="5" t="s">
        <v>0</v>
      </c>
      <c r="E131" s="5"/>
      <c r="F131" s="5" t="s">
        <v>1</v>
      </c>
      <c r="G131" s="5" t="s">
        <v>1</v>
      </c>
      <c r="H131" s="17" t="str">
        <f t="shared" si="57"/>
        <v>""</v>
      </c>
      <c r="I131" s="5" t="s">
        <v>46</v>
      </c>
      <c r="J131" s="5" t="s">
        <v>46</v>
      </c>
      <c r="K131" s="5" t="s">
        <v>46</v>
      </c>
      <c r="L131" s="5" t="s">
        <v>46</v>
      </c>
      <c r="M131" s="5" t="s">
        <v>100</v>
      </c>
      <c r="N131" s="8">
        <f t="shared" si="59"/>
        <v>6</v>
      </c>
      <c r="O131" s="5">
        <v>0</v>
      </c>
      <c r="P131" s="5">
        <v>0</v>
      </c>
      <c r="Q131" s="5" t="s">
        <v>105</v>
      </c>
      <c r="R131" s="5" t="s">
        <v>23</v>
      </c>
      <c r="S131" s="5" t="s">
        <v>48</v>
      </c>
      <c r="T131" s="5" t="s">
        <v>46</v>
      </c>
      <c r="U131" s="5" t="s">
        <v>46</v>
      </c>
      <c r="V131" s="5" t="s">
        <v>46</v>
      </c>
      <c r="W131" s="5">
        <v>0</v>
      </c>
      <c r="X131" s="10" t="s">
        <v>96</v>
      </c>
      <c r="Y131" s="10"/>
      <c r="Z131" s="10"/>
      <c r="AB131" s="2" t="str">
        <f t="shared" si="61"/>
        <v xml:space="preserve">/*3*/{" ","","","","",false,false,false,false,1000.0,6,0,0,4000.0,0.0,100.0,false,false,false,0},//. </v>
      </c>
      <c r="AD131" s="12" t="str">
        <f>IF(X131="Да",IF(T131="false",CONCATENATE("float &amp;",SUBSTITUTE(Z131," ","")," = Screens[",$A$125,"][",A131,"].Param;// Ссылка. ",$Y$128,". ",Y131),CONCATENATE("bool &amp;",SUBSTITUTE(Z131," ","")," = Screens[",$A$125,"][",A131,"].BoolParam;// Ссылка. ",$Y$128,". ",Y131)),"")</f>
        <v xml:space="preserve">float &amp; = Screens[5][3].Param;// Ссылка. . </v>
      </c>
      <c r="AE131" s="12" t="str">
        <f t="shared" si="58"/>
        <v xml:space="preserve">float ; //. </v>
      </c>
      <c r="AH131" s="12" t="str">
        <f t="shared" ref="AH131:AH148" si="62">IF(X131="Да",CONCATENATE("Ref.",,SUBSTITUTE(Z131," ","")," = ",$AI$1,SUBSTITUTE(Z131," ",""),";//",$Y$128,". ",Y131),"")</f>
        <v xml:space="preserve">Ref. = FlashMemory.;//. </v>
      </c>
      <c r="AI131" s="12" t="str">
        <f>IF(X131="Да",CONCATENATE($AI$1,SUBSTITUTE(Z131," ","")," = Ref.",SUBSTITUTE(Z131," ",""),";//",$Y$128,". ",Y131),"")</f>
        <v xml:space="preserve">FlashMemory. = Ref.;//. </v>
      </c>
      <c r="AJ131" s="12" t="str">
        <f>IF(X131="Да",IF(T131="false",CONCATENATE($AI$1,SUBSTITUTE(Z131," ","")," = ",M131,";//",$Y$128,". ",Y131),CONCATENATE($AI$1,SUBSTITUTE(Z131," ","")," = ",U131,";//",$Y$128,". ",Y131)),"")</f>
        <v xml:space="preserve">FlashMemory. = 1000.0;//. </v>
      </c>
    </row>
    <row r="132" spans="1:36" x14ac:dyDescent="0.25">
      <c r="A132" s="17">
        <f t="shared" si="60"/>
        <v>4</v>
      </c>
      <c r="B132" s="8" t="s">
        <v>30</v>
      </c>
      <c r="C132" s="4" t="s">
        <v>24</v>
      </c>
      <c r="D132" s="5" t="s">
        <v>0</v>
      </c>
      <c r="E132" s="5"/>
      <c r="F132" s="5" t="s">
        <v>1</v>
      </c>
      <c r="G132" s="5" t="s">
        <v>1</v>
      </c>
      <c r="H132" s="17" t="str">
        <f t="shared" si="57"/>
        <v>""</v>
      </c>
      <c r="I132" s="5" t="s">
        <v>46</v>
      </c>
      <c r="J132" s="5" t="s">
        <v>46</v>
      </c>
      <c r="K132" s="5" t="s">
        <v>46</v>
      </c>
      <c r="L132" s="5" t="s">
        <v>46</v>
      </c>
      <c r="M132" s="5" t="s">
        <v>100</v>
      </c>
      <c r="N132" s="8">
        <f t="shared" si="59"/>
        <v>6</v>
      </c>
      <c r="O132" s="5">
        <v>0</v>
      </c>
      <c r="P132" s="5">
        <v>0</v>
      </c>
      <c r="Q132" s="5" t="s">
        <v>105</v>
      </c>
      <c r="R132" s="5" t="s">
        <v>23</v>
      </c>
      <c r="S132" s="5" t="s">
        <v>48</v>
      </c>
      <c r="T132" s="5" t="s">
        <v>46</v>
      </c>
      <c r="U132" s="5" t="s">
        <v>46</v>
      </c>
      <c r="V132" s="5" t="s">
        <v>46</v>
      </c>
      <c r="W132" s="5">
        <v>0</v>
      </c>
      <c r="X132" s="10" t="s">
        <v>96</v>
      </c>
      <c r="Y132" s="10"/>
      <c r="Z132" s="10"/>
      <c r="AB132" s="2" t="str">
        <f t="shared" si="61"/>
        <v xml:space="preserve">/*4*/{" ","","","","",false,false,false,false,1000.0,6,0,0,4000.0,0.0,100.0,false,false,false,0},//. </v>
      </c>
      <c r="AD132" s="12" t="str">
        <f t="shared" ref="AD132:AD148" si="63">IF(X132="Да",IF(T132="false",CONCATENATE("float &amp;",SUBSTITUTE(Z132," ","")," = Screens[",$A$125,"][",A132,"].Param;// Ссылка. ",$Y$128,". ",Y132),CONCATENATE("bool &amp;",SUBSTITUTE(Z132," ","")," = Screens[",$A$125,"][",A132,"].BoolParam;// Ссылка. ",$Y$128,". ",Y132)),"")</f>
        <v xml:space="preserve">float &amp; = Screens[5][4].Param;// Ссылка. . </v>
      </c>
      <c r="AE132" s="12" t="str">
        <f t="shared" si="58"/>
        <v xml:space="preserve">float ; //. </v>
      </c>
      <c r="AH132" s="12" t="str">
        <f t="shared" si="62"/>
        <v xml:space="preserve">Ref. = FlashMemory.;//. </v>
      </c>
      <c r="AI132" s="12" t="str">
        <f t="shared" ref="AI132:AI148" si="64">IF(X132="Да",CONCATENATE($AI$1,SUBSTITUTE(Z132," ","")," = Ref.",SUBSTITUTE(Z132," ",""),";//",$Y$128,". ",Y132),"")</f>
        <v xml:space="preserve">FlashMemory. = Ref.;//. </v>
      </c>
      <c r="AJ132" s="12" t="str">
        <f t="shared" ref="AJ132:AJ148" si="65">IF(X132="Да",IF(T132="false",CONCATENATE($AI$1,SUBSTITUTE(Z132," ","")," = ",M132,";//",$Y$128,". ",Y132),CONCATENATE($AI$1,SUBSTITUTE(Z132," ","")," = ",U132,";//",$Y$128,". ",Y132)),"")</f>
        <v xml:space="preserve">FlashMemory. = 1000.0;//. </v>
      </c>
    </row>
    <row r="133" spans="1:36" x14ac:dyDescent="0.25">
      <c r="A133" s="17">
        <f t="shared" si="60"/>
        <v>5</v>
      </c>
      <c r="B133" s="8" t="s">
        <v>31</v>
      </c>
      <c r="C133" s="4" t="s">
        <v>24</v>
      </c>
      <c r="D133" s="5" t="s">
        <v>0</v>
      </c>
      <c r="E133" s="5"/>
      <c r="F133" s="5" t="s">
        <v>1</v>
      </c>
      <c r="G133" s="5" t="s">
        <v>1</v>
      </c>
      <c r="H133" s="17" t="str">
        <f t="shared" si="57"/>
        <v>""</v>
      </c>
      <c r="I133" s="5" t="s">
        <v>46</v>
      </c>
      <c r="J133" s="5" t="s">
        <v>46</v>
      </c>
      <c r="K133" s="5" t="s">
        <v>46</v>
      </c>
      <c r="L133" s="5" t="s">
        <v>46</v>
      </c>
      <c r="M133" s="5" t="s">
        <v>22</v>
      </c>
      <c r="N133" s="8">
        <f t="shared" si="59"/>
        <v>6</v>
      </c>
      <c r="O133" s="5">
        <v>0</v>
      </c>
      <c r="P133" s="5">
        <v>0</v>
      </c>
      <c r="Q133" s="5" t="s">
        <v>23</v>
      </c>
      <c r="R133" s="5" t="s">
        <v>23</v>
      </c>
      <c r="S133" s="5" t="s">
        <v>23</v>
      </c>
      <c r="T133" s="5" t="s">
        <v>47</v>
      </c>
      <c r="U133" s="5" t="s">
        <v>46</v>
      </c>
      <c r="V133" s="5" t="s">
        <v>46</v>
      </c>
      <c r="W133" s="5">
        <v>0</v>
      </c>
      <c r="X133" s="10" t="s">
        <v>77</v>
      </c>
      <c r="Y133" s="10"/>
      <c r="Z133" s="10"/>
      <c r="AB133" s="2" t="str">
        <f t="shared" si="61"/>
        <v xml:space="preserve">/*5*/{" ","","","","",false,false,false,false,10.0,6,0,0,0.0,0.0,0.0,true,false,false,0},//. </v>
      </c>
      <c r="AD133" s="12" t="str">
        <f t="shared" si="63"/>
        <v/>
      </c>
      <c r="AE133" s="12" t="str">
        <f t="shared" si="58"/>
        <v/>
      </c>
      <c r="AH133" s="12" t="str">
        <f t="shared" si="62"/>
        <v/>
      </c>
      <c r="AI133" s="12" t="str">
        <f t="shared" si="64"/>
        <v/>
      </c>
      <c r="AJ133" s="12" t="str">
        <f t="shared" si="65"/>
        <v/>
      </c>
    </row>
    <row r="134" spans="1:36" x14ac:dyDescent="0.25">
      <c r="A134" s="17">
        <f t="shared" si="60"/>
        <v>6</v>
      </c>
      <c r="B134" s="8" t="s">
        <v>32</v>
      </c>
      <c r="C134" s="4" t="s">
        <v>24</v>
      </c>
      <c r="D134" s="5" t="s">
        <v>0</v>
      </c>
      <c r="E134" s="5"/>
      <c r="F134" s="5" t="s">
        <v>1</v>
      </c>
      <c r="G134" s="5" t="s">
        <v>1</v>
      </c>
      <c r="H134" s="17" t="str">
        <f t="shared" si="57"/>
        <v>""</v>
      </c>
      <c r="I134" s="5" t="s">
        <v>46</v>
      </c>
      <c r="J134" s="5" t="s">
        <v>46</v>
      </c>
      <c r="K134" s="5" t="s">
        <v>46</v>
      </c>
      <c r="L134" s="5" t="s">
        <v>46</v>
      </c>
      <c r="M134" s="5" t="s">
        <v>22</v>
      </c>
      <c r="N134" s="8">
        <f t="shared" si="59"/>
        <v>6</v>
      </c>
      <c r="O134" s="5">
        <v>0</v>
      </c>
      <c r="P134" s="5">
        <v>0</v>
      </c>
      <c r="Q134" s="5" t="s">
        <v>23</v>
      </c>
      <c r="R134" s="5" t="s">
        <v>23</v>
      </c>
      <c r="S134" s="5" t="s">
        <v>23</v>
      </c>
      <c r="T134" s="5" t="s">
        <v>46</v>
      </c>
      <c r="U134" s="5" t="s">
        <v>46</v>
      </c>
      <c r="V134" s="5" t="s">
        <v>46</v>
      </c>
      <c r="W134" s="5">
        <v>0</v>
      </c>
      <c r="X134" s="10" t="s">
        <v>77</v>
      </c>
      <c r="Y134" s="10"/>
      <c r="Z134" s="10"/>
      <c r="AB134" s="2" t="str">
        <f t="shared" si="61"/>
        <v xml:space="preserve">/*6*/{" ","","","","",false,false,false,false,10.0,6,0,0,0.0,0.0,0.0,false,false,false,0},//. </v>
      </c>
      <c r="AD134" s="12" t="str">
        <f t="shared" si="63"/>
        <v/>
      </c>
      <c r="AE134" s="12" t="str">
        <f t="shared" si="58"/>
        <v/>
      </c>
      <c r="AH134" s="12" t="str">
        <f t="shared" si="62"/>
        <v/>
      </c>
      <c r="AI134" s="12" t="str">
        <f t="shared" si="64"/>
        <v/>
      </c>
      <c r="AJ134" s="12" t="str">
        <f t="shared" si="65"/>
        <v/>
      </c>
    </row>
    <row r="135" spans="1:36" x14ac:dyDescent="0.25">
      <c r="A135" s="17">
        <f t="shared" si="60"/>
        <v>7</v>
      </c>
      <c r="B135" s="8" t="s">
        <v>33</v>
      </c>
      <c r="C135" s="4" t="s">
        <v>24</v>
      </c>
      <c r="D135" s="5" t="s">
        <v>0</v>
      </c>
      <c r="E135" s="5"/>
      <c r="F135" s="5" t="s">
        <v>1</v>
      </c>
      <c r="G135" s="5" t="s">
        <v>1</v>
      </c>
      <c r="H135" s="17" t="str">
        <f t="shared" si="57"/>
        <v>""</v>
      </c>
      <c r="I135" s="5" t="s">
        <v>46</v>
      </c>
      <c r="J135" s="5" t="s">
        <v>46</v>
      </c>
      <c r="K135" s="5" t="s">
        <v>46</v>
      </c>
      <c r="L135" s="5" t="s">
        <v>46</v>
      </c>
      <c r="M135" s="5" t="s">
        <v>22</v>
      </c>
      <c r="N135" s="8">
        <f t="shared" si="59"/>
        <v>6</v>
      </c>
      <c r="O135" s="5">
        <v>0</v>
      </c>
      <c r="P135" s="5">
        <v>0</v>
      </c>
      <c r="Q135" s="5" t="s">
        <v>23</v>
      </c>
      <c r="R135" s="5" t="s">
        <v>23</v>
      </c>
      <c r="S135" s="5" t="s">
        <v>23</v>
      </c>
      <c r="T135" s="5" t="s">
        <v>46</v>
      </c>
      <c r="U135" s="5" t="s">
        <v>46</v>
      </c>
      <c r="V135" s="5" t="s">
        <v>46</v>
      </c>
      <c r="W135" s="5">
        <v>0</v>
      </c>
      <c r="X135" s="10" t="s">
        <v>77</v>
      </c>
      <c r="Y135" s="10"/>
      <c r="Z135" s="10"/>
      <c r="AB135" s="2" t="str">
        <f t="shared" si="61"/>
        <v xml:space="preserve">/*7*/{" ","","","","",false,false,false,false,10.0,6,0,0,0.0,0.0,0.0,false,false,false,0},//. </v>
      </c>
      <c r="AD135" s="12" t="str">
        <f t="shared" si="63"/>
        <v/>
      </c>
      <c r="AE135" s="12" t="str">
        <f t="shared" si="58"/>
        <v/>
      </c>
      <c r="AH135" s="12" t="str">
        <f t="shared" si="62"/>
        <v/>
      </c>
      <c r="AI135" s="12" t="str">
        <f t="shared" si="64"/>
        <v/>
      </c>
      <c r="AJ135" s="12" t="str">
        <f t="shared" si="65"/>
        <v/>
      </c>
    </row>
    <row r="136" spans="1:36" x14ac:dyDescent="0.25">
      <c r="A136" s="17">
        <f t="shared" si="60"/>
        <v>8</v>
      </c>
      <c r="B136" s="8" t="s">
        <v>34</v>
      </c>
      <c r="C136" s="4" t="s">
        <v>24</v>
      </c>
      <c r="D136" s="5" t="s">
        <v>0</v>
      </c>
      <c r="E136" s="5"/>
      <c r="F136" s="5" t="s">
        <v>1</v>
      </c>
      <c r="G136" s="5" t="s">
        <v>1</v>
      </c>
      <c r="H136" s="17" t="str">
        <f t="shared" si="57"/>
        <v>""</v>
      </c>
      <c r="I136" s="5" t="s">
        <v>46</v>
      </c>
      <c r="J136" s="5" t="s">
        <v>46</v>
      </c>
      <c r="K136" s="5" t="s">
        <v>46</v>
      </c>
      <c r="L136" s="5" t="s">
        <v>46</v>
      </c>
      <c r="M136" s="5" t="s">
        <v>22</v>
      </c>
      <c r="N136" s="8">
        <f t="shared" si="59"/>
        <v>6</v>
      </c>
      <c r="O136" s="5">
        <v>0</v>
      </c>
      <c r="P136" s="5">
        <v>0</v>
      </c>
      <c r="Q136" s="5" t="s">
        <v>23</v>
      </c>
      <c r="R136" s="5" t="s">
        <v>23</v>
      </c>
      <c r="S136" s="5" t="s">
        <v>23</v>
      </c>
      <c r="T136" s="5" t="s">
        <v>46</v>
      </c>
      <c r="U136" s="5" t="s">
        <v>46</v>
      </c>
      <c r="V136" s="5" t="s">
        <v>46</v>
      </c>
      <c r="W136" s="5">
        <v>0</v>
      </c>
      <c r="X136" s="10" t="s">
        <v>77</v>
      </c>
      <c r="Y136" s="10"/>
      <c r="Z136" s="10"/>
      <c r="AB136" s="2" t="str">
        <f t="shared" si="61"/>
        <v xml:space="preserve">/*8*/{" ","","","","",false,false,false,false,10.0,6,0,0,0.0,0.0,0.0,false,false,false,0},//. </v>
      </c>
      <c r="AD136" s="12" t="str">
        <f t="shared" si="63"/>
        <v/>
      </c>
      <c r="AE136" s="12" t="str">
        <f t="shared" si="58"/>
        <v/>
      </c>
      <c r="AH136" s="12" t="str">
        <f t="shared" si="62"/>
        <v/>
      </c>
      <c r="AI136" s="12" t="str">
        <f t="shared" si="64"/>
        <v/>
      </c>
      <c r="AJ136" s="12" t="str">
        <f t="shared" si="65"/>
        <v/>
      </c>
    </row>
    <row r="137" spans="1:36" x14ac:dyDescent="0.25">
      <c r="A137" s="17">
        <f t="shared" si="60"/>
        <v>9</v>
      </c>
      <c r="B137" s="8" t="s">
        <v>35</v>
      </c>
      <c r="C137" s="4" t="s">
        <v>24</v>
      </c>
      <c r="D137" s="5" t="s">
        <v>0</v>
      </c>
      <c r="E137" s="5"/>
      <c r="F137" s="5" t="s">
        <v>1</v>
      </c>
      <c r="G137" s="5" t="s">
        <v>1</v>
      </c>
      <c r="H137" s="17" t="str">
        <f t="shared" si="57"/>
        <v>""</v>
      </c>
      <c r="I137" s="5" t="s">
        <v>46</v>
      </c>
      <c r="J137" s="5" t="s">
        <v>46</v>
      </c>
      <c r="K137" s="5" t="s">
        <v>46</v>
      </c>
      <c r="L137" s="5" t="s">
        <v>46</v>
      </c>
      <c r="M137" s="5" t="s">
        <v>22</v>
      </c>
      <c r="N137" s="8">
        <f t="shared" si="59"/>
        <v>6</v>
      </c>
      <c r="O137" s="5">
        <v>0</v>
      </c>
      <c r="P137" s="5">
        <v>0</v>
      </c>
      <c r="Q137" s="5" t="s">
        <v>23</v>
      </c>
      <c r="R137" s="5" t="s">
        <v>23</v>
      </c>
      <c r="S137" s="5" t="s">
        <v>23</v>
      </c>
      <c r="T137" s="5" t="s">
        <v>46</v>
      </c>
      <c r="U137" s="5" t="s">
        <v>46</v>
      </c>
      <c r="V137" s="5" t="s">
        <v>46</v>
      </c>
      <c r="W137" s="5">
        <v>0</v>
      </c>
      <c r="X137" s="10" t="s">
        <v>77</v>
      </c>
      <c r="Y137" s="10"/>
      <c r="Z137" s="10"/>
      <c r="AB137" s="2" t="str">
        <f t="shared" si="61"/>
        <v xml:space="preserve">/*9*/{" ","","","","",false,false,false,false,10.0,6,0,0,0.0,0.0,0.0,false,false,false,0},//. </v>
      </c>
      <c r="AD137" s="12" t="str">
        <f t="shared" si="63"/>
        <v/>
      </c>
      <c r="AE137" s="12" t="str">
        <f t="shared" si="58"/>
        <v/>
      </c>
      <c r="AH137" s="12" t="str">
        <f t="shared" si="62"/>
        <v/>
      </c>
      <c r="AI137" s="12" t="str">
        <f t="shared" si="64"/>
        <v/>
      </c>
      <c r="AJ137" s="12" t="str">
        <f t="shared" si="65"/>
        <v/>
      </c>
    </row>
    <row r="138" spans="1:36" x14ac:dyDescent="0.25">
      <c r="A138" s="17">
        <f t="shared" si="60"/>
        <v>10</v>
      </c>
      <c r="B138" s="8" t="s">
        <v>36</v>
      </c>
      <c r="C138" s="4" t="s">
        <v>24</v>
      </c>
      <c r="D138" s="5" t="s">
        <v>0</v>
      </c>
      <c r="E138" s="5"/>
      <c r="F138" s="5" t="s">
        <v>1</v>
      </c>
      <c r="G138" s="5" t="s">
        <v>1</v>
      </c>
      <c r="H138" s="17" t="str">
        <f t="shared" si="57"/>
        <v>""</v>
      </c>
      <c r="I138" s="5" t="s">
        <v>46</v>
      </c>
      <c r="J138" s="5" t="s">
        <v>46</v>
      </c>
      <c r="K138" s="5" t="s">
        <v>46</v>
      </c>
      <c r="L138" s="5" t="s">
        <v>46</v>
      </c>
      <c r="M138" s="5" t="s">
        <v>22</v>
      </c>
      <c r="N138" s="8">
        <f t="shared" si="59"/>
        <v>6</v>
      </c>
      <c r="O138" s="5">
        <v>0</v>
      </c>
      <c r="P138" s="5">
        <v>0</v>
      </c>
      <c r="Q138" s="5" t="s">
        <v>23</v>
      </c>
      <c r="R138" s="5" t="s">
        <v>23</v>
      </c>
      <c r="S138" s="5" t="s">
        <v>23</v>
      </c>
      <c r="T138" s="5" t="s">
        <v>46</v>
      </c>
      <c r="U138" s="5" t="s">
        <v>46</v>
      </c>
      <c r="V138" s="5" t="s">
        <v>46</v>
      </c>
      <c r="W138" s="5">
        <v>0</v>
      </c>
      <c r="X138" s="10" t="s">
        <v>77</v>
      </c>
      <c r="Y138" s="10"/>
      <c r="Z138" s="10"/>
      <c r="AB138" s="2" t="str">
        <f t="shared" si="61"/>
        <v xml:space="preserve">/*10*/{" ","","","","",false,false,false,false,10.0,6,0,0,0.0,0.0,0.0,false,false,false,0},//. </v>
      </c>
      <c r="AD138" s="12" t="str">
        <f t="shared" si="63"/>
        <v/>
      </c>
      <c r="AE138" s="12" t="str">
        <f t="shared" si="58"/>
        <v/>
      </c>
      <c r="AH138" s="12" t="str">
        <f t="shared" si="62"/>
        <v/>
      </c>
      <c r="AI138" s="12" t="str">
        <f t="shared" si="64"/>
        <v/>
      </c>
      <c r="AJ138" s="12" t="str">
        <f t="shared" si="65"/>
        <v/>
      </c>
    </row>
    <row r="139" spans="1:36" x14ac:dyDescent="0.25">
      <c r="A139" s="17">
        <f t="shared" si="60"/>
        <v>11</v>
      </c>
      <c r="B139" s="8" t="s">
        <v>37</v>
      </c>
      <c r="C139" s="4" t="s">
        <v>24</v>
      </c>
      <c r="D139" s="5" t="s">
        <v>0</v>
      </c>
      <c r="E139" s="5"/>
      <c r="F139" s="5" t="s">
        <v>1</v>
      </c>
      <c r="G139" s="5" t="s">
        <v>1</v>
      </c>
      <c r="H139" s="17" t="str">
        <f t="shared" si="57"/>
        <v>""</v>
      </c>
      <c r="I139" s="5" t="s">
        <v>46</v>
      </c>
      <c r="J139" s="5" t="s">
        <v>46</v>
      </c>
      <c r="K139" s="5" t="s">
        <v>46</v>
      </c>
      <c r="L139" s="5" t="s">
        <v>46</v>
      </c>
      <c r="M139" s="5" t="s">
        <v>22</v>
      </c>
      <c r="N139" s="8">
        <f t="shared" si="59"/>
        <v>6</v>
      </c>
      <c r="O139" s="5">
        <v>0</v>
      </c>
      <c r="P139" s="5">
        <v>0</v>
      </c>
      <c r="Q139" s="5" t="s">
        <v>23</v>
      </c>
      <c r="R139" s="5" t="s">
        <v>23</v>
      </c>
      <c r="S139" s="5" t="s">
        <v>23</v>
      </c>
      <c r="T139" s="5" t="s">
        <v>46</v>
      </c>
      <c r="U139" s="5" t="s">
        <v>46</v>
      </c>
      <c r="V139" s="5" t="s">
        <v>46</v>
      </c>
      <c r="W139" s="5">
        <v>0</v>
      </c>
      <c r="X139" s="10" t="s">
        <v>77</v>
      </c>
      <c r="Y139" s="10"/>
      <c r="Z139" s="10"/>
      <c r="AB139" s="2" t="str">
        <f t="shared" si="61"/>
        <v xml:space="preserve">/*11*/{" ","","","","",false,false,false,false,10.0,6,0,0,0.0,0.0,0.0,false,false,false,0},//. </v>
      </c>
      <c r="AD139" s="12" t="str">
        <f t="shared" si="63"/>
        <v/>
      </c>
      <c r="AE139" s="12" t="str">
        <f t="shared" si="58"/>
        <v/>
      </c>
      <c r="AH139" s="12" t="str">
        <f t="shared" si="62"/>
        <v/>
      </c>
      <c r="AI139" s="12" t="str">
        <f t="shared" si="64"/>
        <v/>
      </c>
      <c r="AJ139" s="12" t="str">
        <f t="shared" si="65"/>
        <v/>
      </c>
    </row>
    <row r="140" spans="1:36" x14ac:dyDescent="0.25">
      <c r="A140" s="17">
        <f t="shared" si="60"/>
        <v>12</v>
      </c>
      <c r="B140" s="8" t="s">
        <v>38</v>
      </c>
      <c r="C140" s="4" t="s">
        <v>24</v>
      </c>
      <c r="D140" s="5" t="s">
        <v>0</v>
      </c>
      <c r="E140" s="5"/>
      <c r="F140" s="5" t="s">
        <v>1</v>
      </c>
      <c r="G140" s="5" t="s">
        <v>1</v>
      </c>
      <c r="H140" s="17" t="str">
        <f t="shared" si="57"/>
        <v>""</v>
      </c>
      <c r="I140" s="5" t="s">
        <v>46</v>
      </c>
      <c r="J140" s="5" t="s">
        <v>46</v>
      </c>
      <c r="K140" s="5" t="s">
        <v>46</v>
      </c>
      <c r="L140" s="5" t="s">
        <v>46</v>
      </c>
      <c r="M140" s="5" t="s">
        <v>22</v>
      </c>
      <c r="N140" s="8">
        <f t="shared" si="59"/>
        <v>6</v>
      </c>
      <c r="O140" s="5">
        <v>0</v>
      </c>
      <c r="P140" s="5">
        <v>0</v>
      </c>
      <c r="Q140" s="5" t="s">
        <v>23</v>
      </c>
      <c r="R140" s="5" t="s">
        <v>23</v>
      </c>
      <c r="S140" s="5" t="s">
        <v>23</v>
      </c>
      <c r="T140" s="5" t="s">
        <v>46</v>
      </c>
      <c r="U140" s="5" t="s">
        <v>46</v>
      </c>
      <c r="V140" s="5" t="s">
        <v>46</v>
      </c>
      <c r="W140" s="5">
        <v>0</v>
      </c>
      <c r="X140" s="10" t="s">
        <v>77</v>
      </c>
      <c r="Y140" s="10"/>
      <c r="Z140" s="10"/>
      <c r="AB140" s="2" t="str">
        <f t="shared" si="61"/>
        <v xml:space="preserve">/*12*/{" ","","","","",false,false,false,false,10.0,6,0,0,0.0,0.0,0.0,false,false,false,0},//. </v>
      </c>
      <c r="AD140" s="12" t="str">
        <f t="shared" si="63"/>
        <v/>
      </c>
      <c r="AE140" s="12" t="str">
        <f t="shared" si="58"/>
        <v/>
      </c>
      <c r="AH140" s="12" t="str">
        <f t="shared" si="62"/>
        <v/>
      </c>
      <c r="AI140" s="12" t="str">
        <f t="shared" si="64"/>
        <v/>
      </c>
      <c r="AJ140" s="12" t="str">
        <f t="shared" si="65"/>
        <v/>
      </c>
    </row>
    <row r="141" spans="1:36" x14ac:dyDescent="0.25">
      <c r="A141" s="17">
        <f t="shared" si="60"/>
        <v>13</v>
      </c>
      <c r="B141" s="8" t="s">
        <v>39</v>
      </c>
      <c r="C141" s="4" t="s">
        <v>24</v>
      </c>
      <c r="D141" s="5" t="s">
        <v>0</v>
      </c>
      <c r="E141" s="5"/>
      <c r="F141" s="5" t="s">
        <v>1</v>
      </c>
      <c r="G141" s="5" t="s">
        <v>1</v>
      </c>
      <c r="H141" s="17" t="str">
        <f t="shared" si="57"/>
        <v>""</v>
      </c>
      <c r="I141" s="5" t="s">
        <v>46</v>
      </c>
      <c r="J141" s="5" t="s">
        <v>46</v>
      </c>
      <c r="K141" s="5" t="s">
        <v>46</v>
      </c>
      <c r="L141" s="5" t="s">
        <v>46</v>
      </c>
      <c r="M141" s="5" t="s">
        <v>22</v>
      </c>
      <c r="N141" s="8">
        <f t="shared" si="59"/>
        <v>6</v>
      </c>
      <c r="O141" s="5">
        <v>0</v>
      </c>
      <c r="P141" s="5">
        <v>0</v>
      </c>
      <c r="Q141" s="5" t="s">
        <v>23</v>
      </c>
      <c r="R141" s="5" t="s">
        <v>23</v>
      </c>
      <c r="S141" s="5" t="s">
        <v>23</v>
      </c>
      <c r="T141" s="5" t="s">
        <v>46</v>
      </c>
      <c r="U141" s="5" t="s">
        <v>46</v>
      </c>
      <c r="V141" s="5" t="s">
        <v>46</v>
      </c>
      <c r="W141" s="5">
        <v>0</v>
      </c>
      <c r="X141" s="10" t="s">
        <v>77</v>
      </c>
      <c r="Y141" s="10"/>
      <c r="Z141" s="10"/>
      <c r="AB141" s="2" t="str">
        <f t="shared" si="61"/>
        <v xml:space="preserve">/*13*/{" ","","","","",false,false,false,false,10.0,6,0,0,0.0,0.0,0.0,false,false,false,0},//. </v>
      </c>
      <c r="AD141" s="12" t="str">
        <f t="shared" si="63"/>
        <v/>
      </c>
      <c r="AE141" s="12" t="str">
        <f t="shared" si="58"/>
        <v/>
      </c>
      <c r="AH141" s="12" t="str">
        <f t="shared" si="62"/>
        <v/>
      </c>
      <c r="AI141" s="12" t="str">
        <f t="shared" si="64"/>
        <v/>
      </c>
      <c r="AJ141" s="12" t="str">
        <f t="shared" si="65"/>
        <v/>
      </c>
    </row>
    <row r="142" spans="1:36" x14ac:dyDescent="0.25">
      <c r="A142" s="17">
        <f t="shared" si="60"/>
        <v>14</v>
      </c>
      <c r="B142" s="8" t="s">
        <v>40</v>
      </c>
      <c r="C142" s="4" t="s">
        <v>24</v>
      </c>
      <c r="D142" s="5" t="s">
        <v>0</v>
      </c>
      <c r="E142" s="5"/>
      <c r="F142" s="5" t="s">
        <v>1</v>
      </c>
      <c r="G142" s="5" t="s">
        <v>1</v>
      </c>
      <c r="H142" s="17" t="str">
        <f t="shared" si="57"/>
        <v>""</v>
      </c>
      <c r="I142" s="5" t="s">
        <v>46</v>
      </c>
      <c r="J142" s="5" t="s">
        <v>46</v>
      </c>
      <c r="K142" s="5" t="s">
        <v>46</v>
      </c>
      <c r="L142" s="5" t="s">
        <v>46</v>
      </c>
      <c r="M142" s="5" t="s">
        <v>22</v>
      </c>
      <c r="N142" s="8">
        <f t="shared" si="59"/>
        <v>6</v>
      </c>
      <c r="O142" s="5">
        <v>0</v>
      </c>
      <c r="P142" s="5">
        <v>0</v>
      </c>
      <c r="Q142" s="5" t="s">
        <v>23</v>
      </c>
      <c r="R142" s="5" t="s">
        <v>23</v>
      </c>
      <c r="S142" s="5" t="s">
        <v>23</v>
      </c>
      <c r="T142" s="5" t="s">
        <v>46</v>
      </c>
      <c r="U142" s="5" t="s">
        <v>46</v>
      </c>
      <c r="V142" s="5" t="s">
        <v>46</v>
      </c>
      <c r="W142" s="5">
        <v>0</v>
      </c>
      <c r="X142" s="10" t="s">
        <v>77</v>
      </c>
      <c r="Y142" s="10"/>
      <c r="Z142" s="10"/>
      <c r="AB142" s="2" t="str">
        <f t="shared" si="61"/>
        <v xml:space="preserve">/*14*/{" ","","","","",false,false,false,false,10.0,6,0,0,0.0,0.0,0.0,false,false,false,0},//. </v>
      </c>
      <c r="AD142" s="12" t="str">
        <f t="shared" si="63"/>
        <v/>
      </c>
      <c r="AE142" s="12" t="str">
        <f t="shared" si="58"/>
        <v/>
      </c>
      <c r="AH142" s="12" t="str">
        <f t="shared" si="62"/>
        <v/>
      </c>
      <c r="AI142" s="12" t="str">
        <f t="shared" si="64"/>
        <v/>
      </c>
      <c r="AJ142" s="12" t="str">
        <f t="shared" si="65"/>
        <v/>
      </c>
    </row>
    <row r="143" spans="1:36" x14ac:dyDescent="0.25">
      <c r="A143" s="17">
        <f t="shared" si="60"/>
        <v>15</v>
      </c>
      <c r="B143" s="8" t="s">
        <v>41</v>
      </c>
      <c r="C143" s="4" t="s">
        <v>24</v>
      </c>
      <c r="D143" s="5" t="s">
        <v>0</v>
      </c>
      <c r="E143" s="5"/>
      <c r="F143" s="5" t="s">
        <v>1</v>
      </c>
      <c r="G143" s="5" t="s">
        <v>1</v>
      </c>
      <c r="H143" s="17" t="str">
        <f t="shared" si="57"/>
        <v>""</v>
      </c>
      <c r="I143" s="5" t="s">
        <v>46</v>
      </c>
      <c r="J143" s="5" t="s">
        <v>46</v>
      </c>
      <c r="K143" s="5" t="s">
        <v>46</v>
      </c>
      <c r="L143" s="5" t="s">
        <v>46</v>
      </c>
      <c r="M143" s="5" t="s">
        <v>22</v>
      </c>
      <c r="N143" s="8">
        <f t="shared" si="59"/>
        <v>6</v>
      </c>
      <c r="O143" s="5">
        <v>0</v>
      </c>
      <c r="P143" s="5">
        <v>0</v>
      </c>
      <c r="Q143" s="5" t="s">
        <v>23</v>
      </c>
      <c r="R143" s="5" t="s">
        <v>23</v>
      </c>
      <c r="S143" s="5" t="s">
        <v>23</v>
      </c>
      <c r="T143" s="5" t="s">
        <v>46</v>
      </c>
      <c r="U143" s="5" t="s">
        <v>46</v>
      </c>
      <c r="V143" s="5" t="s">
        <v>46</v>
      </c>
      <c r="W143" s="5">
        <v>0</v>
      </c>
      <c r="X143" s="10" t="s">
        <v>77</v>
      </c>
      <c r="Y143" s="10"/>
      <c r="Z143" s="10"/>
      <c r="AB143" s="2" t="str">
        <f t="shared" si="61"/>
        <v xml:space="preserve">/*15*/{" ","","","","",false,false,false,false,10.0,6,0,0,0.0,0.0,0.0,false,false,false,0},//. </v>
      </c>
      <c r="AD143" s="12" t="str">
        <f t="shared" si="63"/>
        <v/>
      </c>
      <c r="AE143" s="12" t="str">
        <f t="shared" si="58"/>
        <v/>
      </c>
      <c r="AH143" s="12" t="str">
        <f t="shared" si="62"/>
        <v/>
      </c>
      <c r="AI143" s="12" t="str">
        <f t="shared" si="64"/>
        <v/>
      </c>
      <c r="AJ143" s="12" t="str">
        <f t="shared" si="65"/>
        <v/>
      </c>
    </row>
    <row r="144" spans="1:36" x14ac:dyDescent="0.25">
      <c r="A144" s="17">
        <f t="shared" si="60"/>
        <v>16</v>
      </c>
      <c r="B144" s="8" t="s">
        <v>42</v>
      </c>
      <c r="C144" s="4" t="s">
        <v>24</v>
      </c>
      <c r="D144" s="5" t="s">
        <v>0</v>
      </c>
      <c r="E144" s="5"/>
      <c r="F144" s="5" t="s">
        <v>1</v>
      </c>
      <c r="G144" s="5" t="s">
        <v>1</v>
      </c>
      <c r="H144" s="17" t="str">
        <f t="shared" si="57"/>
        <v>""</v>
      </c>
      <c r="I144" s="5" t="s">
        <v>46</v>
      </c>
      <c r="J144" s="5" t="s">
        <v>46</v>
      </c>
      <c r="K144" s="5" t="s">
        <v>46</v>
      </c>
      <c r="L144" s="5" t="s">
        <v>46</v>
      </c>
      <c r="M144" s="5" t="s">
        <v>22</v>
      </c>
      <c r="N144" s="8">
        <f t="shared" si="59"/>
        <v>6</v>
      </c>
      <c r="O144" s="5">
        <v>0</v>
      </c>
      <c r="P144" s="5">
        <v>0</v>
      </c>
      <c r="Q144" s="5" t="s">
        <v>23</v>
      </c>
      <c r="R144" s="5" t="s">
        <v>23</v>
      </c>
      <c r="S144" s="5" t="s">
        <v>23</v>
      </c>
      <c r="T144" s="5" t="s">
        <v>46</v>
      </c>
      <c r="U144" s="5" t="s">
        <v>46</v>
      </c>
      <c r="V144" s="5" t="s">
        <v>46</v>
      </c>
      <c r="W144" s="5">
        <v>0</v>
      </c>
      <c r="X144" s="10" t="s">
        <v>77</v>
      </c>
      <c r="Y144" s="10"/>
      <c r="Z144" s="10"/>
      <c r="AB144" s="2" t="str">
        <f t="shared" si="61"/>
        <v xml:space="preserve">/*16*/{" ","","","","",false,false,false,false,10.0,6,0,0,0.0,0.0,0.0,false,false,false,0},//. </v>
      </c>
      <c r="AD144" s="12" t="str">
        <f t="shared" si="63"/>
        <v/>
      </c>
      <c r="AE144" s="12" t="str">
        <f t="shared" si="58"/>
        <v/>
      </c>
      <c r="AH144" s="12" t="str">
        <f t="shared" si="62"/>
        <v/>
      </c>
      <c r="AI144" s="12" t="str">
        <f t="shared" si="64"/>
        <v/>
      </c>
      <c r="AJ144" s="12" t="str">
        <f t="shared" si="65"/>
        <v/>
      </c>
    </row>
    <row r="145" spans="1:36" x14ac:dyDescent="0.25">
      <c r="A145" s="17">
        <f t="shared" si="60"/>
        <v>17</v>
      </c>
      <c r="B145" s="8" t="s">
        <v>43</v>
      </c>
      <c r="C145" s="4" t="s">
        <v>24</v>
      </c>
      <c r="D145" s="5" t="s">
        <v>0</v>
      </c>
      <c r="E145" s="5"/>
      <c r="F145" s="5" t="s">
        <v>1</v>
      </c>
      <c r="G145" s="5" t="s">
        <v>1</v>
      </c>
      <c r="H145" s="17" t="str">
        <f t="shared" si="57"/>
        <v>""</v>
      </c>
      <c r="I145" s="5" t="s">
        <v>46</v>
      </c>
      <c r="J145" s="5" t="s">
        <v>46</v>
      </c>
      <c r="K145" s="5" t="s">
        <v>46</v>
      </c>
      <c r="L145" s="5" t="s">
        <v>46</v>
      </c>
      <c r="M145" s="5" t="s">
        <v>22</v>
      </c>
      <c r="N145" s="8">
        <f t="shared" si="59"/>
        <v>6</v>
      </c>
      <c r="O145" s="5">
        <v>0</v>
      </c>
      <c r="P145" s="5">
        <v>0</v>
      </c>
      <c r="Q145" s="5" t="s">
        <v>23</v>
      </c>
      <c r="R145" s="5" t="s">
        <v>23</v>
      </c>
      <c r="S145" s="5" t="s">
        <v>23</v>
      </c>
      <c r="T145" s="5" t="s">
        <v>46</v>
      </c>
      <c r="U145" s="5" t="s">
        <v>46</v>
      </c>
      <c r="V145" s="5" t="s">
        <v>46</v>
      </c>
      <c r="W145" s="5">
        <v>0</v>
      </c>
      <c r="X145" s="10" t="s">
        <v>77</v>
      </c>
      <c r="Y145" s="10"/>
      <c r="Z145" s="10"/>
      <c r="AB145" s="2" t="str">
        <f t="shared" si="61"/>
        <v xml:space="preserve">/*17*/{" ","","","","",false,false,false,false,10.0,6,0,0,0.0,0.0,0.0,false,false,false,0},//. </v>
      </c>
      <c r="AD145" s="12" t="str">
        <f t="shared" si="63"/>
        <v/>
      </c>
      <c r="AE145" s="12" t="str">
        <f t="shared" si="58"/>
        <v/>
      </c>
      <c r="AH145" s="12" t="str">
        <f t="shared" si="62"/>
        <v/>
      </c>
      <c r="AI145" s="12" t="str">
        <f t="shared" si="64"/>
        <v/>
      </c>
      <c r="AJ145" s="12" t="str">
        <f t="shared" si="65"/>
        <v/>
      </c>
    </row>
    <row r="146" spans="1:36" x14ac:dyDescent="0.25">
      <c r="A146" s="17">
        <f t="shared" si="60"/>
        <v>18</v>
      </c>
      <c r="B146" s="8" t="s">
        <v>44</v>
      </c>
      <c r="C146" s="4" t="s">
        <v>24</v>
      </c>
      <c r="D146" s="5" t="s">
        <v>0</v>
      </c>
      <c r="E146" s="5"/>
      <c r="F146" s="5" t="s">
        <v>1</v>
      </c>
      <c r="G146" s="5" t="s">
        <v>1</v>
      </c>
      <c r="H146" s="17" t="str">
        <f t="shared" ref="H146:H147" si="66">IF(AND(I146="true",J146="false"),""" ""","""""")</f>
        <v>""</v>
      </c>
      <c r="I146" s="5" t="s">
        <v>46</v>
      </c>
      <c r="J146" s="5" t="s">
        <v>46</v>
      </c>
      <c r="K146" s="5" t="s">
        <v>46</v>
      </c>
      <c r="L146" s="5" t="s">
        <v>46</v>
      </c>
      <c r="M146" s="5" t="s">
        <v>22</v>
      </c>
      <c r="N146" s="8">
        <f t="shared" ref="N146:N147" si="67">N145</f>
        <v>6</v>
      </c>
      <c r="O146" s="5">
        <v>0</v>
      </c>
      <c r="P146" s="5">
        <v>0</v>
      </c>
      <c r="Q146" s="5" t="s">
        <v>23</v>
      </c>
      <c r="R146" s="5" t="s">
        <v>23</v>
      </c>
      <c r="S146" s="5" t="s">
        <v>23</v>
      </c>
      <c r="T146" s="5" t="s">
        <v>46</v>
      </c>
      <c r="U146" s="5" t="s">
        <v>46</v>
      </c>
      <c r="V146" s="5" t="s">
        <v>46</v>
      </c>
      <c r="W146" s="5">
        <v>0</v>
      </c>
      <c r="X146" s="10" t="s">
        <v>77</v>
      </c>
      <c r="Y146" s="10"/>
      <c r="Z146" s="10"/>
      <c r="AB146" s="2" t="str">
        <f t="shared" si="61"/>
        <v xml:space="preserve">/*18*/{" ","","","","",false,false,false,false,10.0,6,0,0,0.0,0.0,0.0,false,false,false,0},//. </v>
      </c>
      <c r="AD146" s="12" t="str">
        <f t="shared" si="63"/>
        <v/>
      </c>
      <c r="AE146" s="12" t="str">
        <f t="shared" si="58"/>
        <v/>
      </c>
      <c r="AH146" s="12" t="str">
        <f t="shared" si="62"/>
        <v/>
      </c>
      <c r="AI146" s="12" t="str">
        <f t="shared" si="64"/>
        <v/>
      </c>
      <c r="AJ146" s="12" t="str">
        <f t="shared" si="65"/>
        <v/>
      </c>
    </row>
    <row r="147" spans="1:36" x14ac:dyDescent="0.25">
      <c r="A147" s="17">
        <f t="shared" si="60"/>
        <v>19</v>
      </c>
      <c r="B147" s="8" t="s">
        <v>45</v>
      </c>
      <c r="C147" s="4" t="s">
        <v>24</v>
      </c>
      <c r="D147" s="5" t="s">
        <v>0</v>
      </c>
      <c r="E147" s="5"/>
      <c r="F147" s="5" t="s">
        <v>1</v>
      </c>
      <c r="G147" s="5" t="s">
        <v>1</v>
      </c>
      <c r="H147" s="17" t="str">
        <f t="shared" si="66"/>
        <v>""</v>
      </c>
      <c r="I147" s="5" t="s">
        <v>46</v>
      </c>
      <c r="J147" s="5" t="s">
        <v>46</v>
      </c>
      <c r="K147" s="5" t="s">
        <v>46</v>
      </c>
      <c r="L147" s="5" t="s">
        <v>46</v>
      </c>
      <c r="M147" s="5" t="s">
        <v>22</v>
      </c>
      <c r="N147" s="8">
        <f t="shared" si="67"/>
        <v>6</v>
      </c>
      <c r="O147" s="5">
        <v>0</v>
      </c>
      <c r="P147" s="5">
        <v>0</v>
      </c>
      <c r="Q147" s="5" t="s">
        <v>23</v>
      </c>
      <c r="R147" s="5" t="s">
        <v>23</v>
      </c>
      <c r="S147" s="5" t="s">
        <v>23</v>
      </c>
      <c r="T147" s="5" t="s">
        <v>46</v>
      </c>
      <c r="U147" s="5" t="s">
        <v>46</v>
      </c>
      <c r="V147" s="5" t="s">
        <v>46</v>
      </c>
      <c r="W147" s="5">
        <v>0</v>
      </c>
      <c r="X147" s="10" t="s">
        <v>77</v>
      </c>
      <c r="Y147" s="10"/>
      <c r="Z147" s="10"/>
      <c r="AB147" s="2" t="str">
        <f t="shared" si="61"/>
        <v xml:space="preserve">/*19*/{" ","","","","",false,false,false,false,10.0,6,0,0,0.0,0.0,0.0,false,false,false,0},//. </v>
      </c>
      <c r="AD147" s="12" t="str">
        <f t="shared" si="63"/>
        <v/>
      </c>
      <c r="AE147" s="12" t="str">
        <f t="shared" si="58"/>
        <v/>
      </c>
      <c r="AH147" s="12" t="str">
        <f t="shared" si="62"/>
        <v/>
      </c>
      <c r="AI147" s="12" t="str">
        <f t="shared" si="64"/>
        <v/>
      </c>
      <c r="AJ147" s="12" t="str">
        <f t="shared" si="65"/>
        <v/>
      </c>
    </row>
    <row r="148" spans="1:36" x14ac:dyDescent="0.25">
      <c r="AB148" s="3" t="s">
        <v>25</v>
      </c>
      <c r="AD148" s="12" t="str">
        <f t="shared" si="63"/>
        <v/>
      </c>
      <c r="AE148" s="12" t="str">
        <f t="shared" ref="AE148" si="68">IF(X148="Да",IF(T148="false",CONCATENATE("float ",SUBSTITUTE(Z148," ","")," = Screens[",$A$125,"][",A148,"].Param;//",$Y$128,". ",Y148),CONCATENATE("bool ",SUBSTITUTE(Z148," ","")," = Screens[",$A$125,"][",A148,"].BoolParam;//",$Y$128,". ",Y148)),"")</f>
        <v/>
      </c>
      <c r="AH148" s="12" t="str">
        <f t="shared" si="62"/>
        <v/>
      </c>
      <c r="AI148" s="12" t="str">
        <f t="shared" si="64"/>
        <v/>
      </c>
      <c r="AJ148" s="12" t="str">
        <f t="shared" si="65"/>
        <v/>
      </c>
    </row>
    <row r="149" spans="1:36" x14ac:dyDescent="0.25">
      <c r="A149" s="14">
        <f>A125+1</f>
        <v>6</v>
      </c>
      <c r="B149" s="12">
        <f>E152</f>
        <v>0</v>
      </c>
      <c r="D149" s="7" t="s">
        <v>60</v>
      </c>
      <c r="AB149" s="3" t="s">
        <v>51</v>
      </c>
    </row>
    <row r="150" spans="1:36" ht="45" x14ac:dyDescent="0.25">
      <c r="A150" s="15" t="s">
        <v>78</v>
      </c>
      <c r="B150" s="18"/>
      <c r="C150" s="6" t="s">
        <v>25</v>
      </c>
      <c r="D150" s="6" t="s">
        <v>17</v>
      </c>
      <c r="E150" s="6" t="s">
        <v>18</v>
      </c>
      <c r="F150" s="6" t="s">
        <v>19</v>
      </c>
      <c r="G150" s="6" t="s">
        <v>20</v>
      </c>
      <c r="H150" s="6" t="s">
        <v>21</v>
      </c>
      <c r="I150" s="6" t="s">
        <v>2</v>
      </c>
      <c r="J150" s="6" t="s">
        <v>3</v>
      </c>
      <c r="K150" s="6" t="s">
        <v>4</v>
      </c>
      <c r="L150" s="6" t="s">
        <v>5</v>
      </c>
      <c r="M150" s="6" t="s">
        <v>6</v>
      </c>
      <c r="N150" s="6" t="s">
        <v>7</v>
      </c>
      <c r="O150" s="6" t="s">
        <v>8</v>
      </c>
      <c r="P150" s="6" t="s">
        <v>9</v>
      </c>
      <c r="Q150" s="6" t="s">
        <v>10</v>
      </c>
      <c r="R150" s="6" t="s">
        <v>11</v>
      </c>
      <c r="S150" s="6" t="s">
        <v>12</v>
      </c>
      <c r="T150" s="6" t="s">
        <v>13</v>
      </c>
      <c r="U150" s="6" t="s">
        <v>14</v>
      </c>
      <c r="V150" s="6" t="s">
        <v>15</v>
      </c>
      <c r="W150" s="6" t="s">
        <v>16</v>
      </c>
      <c r="X150" s="6" t="s">
        <v>76</v>
      </c>
      <c r="Y150" s="6" t="s">
        <v>80</v>
      </c>
      <c r="Z150" s="6" t="s">
        <v>97</v>
      </c>
      <c r="AA150" s="1"/>
      <c r="AB150" s="2" t="str">
        <f>CONCATENATE(D149," - ",E152)</f>
        <v xml:space="preserve">//Экран 6 - </v>
      </c>
      <c r="AD150" s="19" t="s">
        <v>81</v>
      </c>
      <c r="AE150" s="19" t="s">
        <v>82</v>
      </c>
      <c r="AF150" s="5"/>
      <c r="AG150" s="5"/>
      <c r="AH150" s="19" t="s">
        <v>83</v>
      </c>
      <c r="AI150" s="19" t="s">
        <v>84</v>
      </c>
      <c r="AJ150" s="19" t="s">
        <v>85</v>
      </c>
    </row>
    <row r="151" spans="1:36" x14ac:dyDescent="0.25">
      <c r="A151" s="16"/>
      <c r="B151" s="13"/>
      <c r="C151" s="4" t="s">
        <v>24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11"/>
      <c r="Y151" s="11"/>
      <c r="Z151" s="11"/>
      <c r="AA151" s="1"/>
      <c r="AB151" s="3" t="str">
        <f>C151</f>
        <v>{</v>
      </c>
    </row>
    <row r="152" spans="1:36" x14ac:dyDescent="0.25">
      <c r="A152" s="17">
        <v>0</v>
      </c>
      <c r="B152" s="8" t="s">
        <v>27</v>
      </c>
      <c r="C152" s="4" t="s">
        <v>24</v>
      </c>
      <c r="D152" s="5" t="s">
        <v>0</v>
      </c>
      <c r="E152" s="5"/>
      <c r="F152" s="5" t="s">
        <v>1</v>
      </c>
      <c r="G152" s="5" t="s">
        <v>1</v>
      </c>
      <c r="H152" s="17" t="str">
        <f t="shared" ref="H152:H162" si="69">IF(AND(I152="true",J152="false"),""" ""","""""")</f>
        <v>""</v>
      </c>
      <c r="I152" s="5" t="s">
        <v>46</v>
      </c>
      <c r="J152" s="5" t="s">
        <v>46</v>
      </c>
      <c r="K152" s="5" t="s">
        <v>46</v>
      </c>
      <c r="L152" s="5" t="s">
        <v>46</v>
      </c>
      <c r="M152" s="5" t="s">
        <v>22</v>
      </c>
      <c r="N152" s="8">
        <v>4</v>
      </c>
      <c r="O152" s="5" t="s">
        <v>93</v>
      </c>
      <c r="P152" s="5" t="s">
        <v>94</v>
      </c>
      <c r="Q152" s="5" t="s">
        <v>23</v>
      </c>
      <c r="R152" s="5" t="s">
        <v>23</v>
      </c>
      <c r="S152" s="5" t="s">
        <v>23</v>
      </c>
      <c r="T152" s="5" t="s">
        <v>46</v>
      </c>
      <c r="U152" s="5" t="s">
        <v>46</v>
      </c>
      <c r="V152" s="5" t="s">
        <v>46</v>
      </c>
      <c r="W152" s="5">
        <v>0</v>
      </c>
      <c r="X152" s="10" t="s">
        <v>77</v>
      </c>
      <c r="Y152" s="10"/>
      <c r="Z152" s="10"/>
      <c r="AB152" s="2" t="str">
        <f>CONCATENATE(B152,C152,D152,",""",E152,""",",F152,",",G152,",",H152,",",I152,",",J152,",",K152,",",L152,",",M152,",",N152,",",O152,",",P152,",",Q152,",",R152,",",S152,",",T152,",",U152,",",V152,",",W152,"},//",Y152)</f>
        <v>/*0*/{" ","","","","",false,false,false,false,10.0,4,4,5,0.0,0.0,0.0,false,false,false,0},//</v>
      </c>
      <c r="AD152" s="12" t="str">
        <f t="shared" ref="AD152:AD170" si="70">IF(X152="Да",IF(T152="false",CONCATENATE("float &amp;",SUBSTITUTE(Z152," ","")," = Screens[",$A$149,"][",A152,"].Param;// Ссылка. ",$Y$152,". ",Y152),CONCATENATE("bool &amp;",SUBSTITUTE(Z152," ","")," = Screens[",$A$149,"][",A152,"].BoolParam;// Ссылка. ",$Y$152,". ",Y152)),"")</f>
        <v/>
      </c>
      <c r="AE152" s="12" t="str">
        <f t="shared" ref="AE152:AE171" si="71">IF(X152="Да",IF(T152="false",CONCATENATE("float ",SUBSTITUTE(Z152," ",""),"; //",$Y$152,". ",Y152),CONCATENATE("bool ",SUBSTITUTE(Z152," ",""),"; //",$Y$152,". ",Y152)),"")</f>
        <v/>
      </c>
      <c r="AH152" s="12" t="str">
        <f t="shared" ref="AH152:AH170" si="72">IF(X152="Да",CONCATENATE("Ref.",,SUBSTITUTE(Z152," ","")," = ",$AI$1,SUBSTITUTE(Z152," ",""),";//",$Y$152,". ",Y152),"")</f>
        <v/>
      </c>
      <c r="AI152" s="12" t="str">
        <f t="shared" ref="AI152:AI171" si="73">IF(X152="Да",CONCATENATE($AI$1,SUBSTITUTE(Z152," ","")," = Ref.",SUBSTITUTE(Z152," ",""),";//",$Y$152,". ",Y152),"")</f>
        <v/>
      </c>
      <c r="AJ152" s="12" t="str">
        <f t="shared" ref="AJ152:AJ170" si="74">IF(X152="Да",IF(T152="false",CONCATENATE($AI$1,SUBSTITUTE(Z152," ","")," = ",M152,";//",$Y$152,". ",Y152),CONCATENATE($AI$1,SUBSTITUTE(Z152," ","")," = ",U152,";//",$Y$152,". ",Y152)),"")</f>
        <v/>
      </c>
    </row>
    <row r="153" spans="1:36" x14ac:dyDescent="0.25">
      <c r="A153" s="17">
        <f>A152+1</f>
        <v>1</v>
      </c>
      <c r="B153" s="8" t="s">
        <v>26</v>
      </c>
      <c r="C153" s="4" t="s">
        <v>24</v>
      </c>
      <c r="D153" s="5" t="s">
        <v>0</v>
      </c>
      <c r="E153" s="5"/>
      <c r="F153" s="5" t="s">
        <v>1</v>
      </c>
      <c r="G153" s="5" t="s">
        <v>1</v>
      </c>
      <c r="H153" s="17" t="str">
        <f t="shared" si="69"/>
        <v>""</v>
      </c>
      <c r="I153" s="5" t="s">
        <v>46</v>
      </c>
      <c r="J153" s="5" t="s">
        <v>46</v>
      </c>
      <c r="K153" s="5" t="s">
        <v>46</v>
      </c>
      <c r="L153" s="5" t="s">
        <v>46</v>
      </c>
      <c r="M153" s="5" t="s">
        <v>102</v>
      </c>
      <c r="N153" s="8">
        <f t="shared" ref="N153:N162" si="75">N152</f>
        <v>4</v>
      </c>
      <c r="O153" s="5">
        <v>0</v>
      </c>
      <c r="P153" s="5">
        <v>0</v>
      </c>
      <c r="Q153" s="5" t="s">
        <v>100</v>
      </c>
      <c r="R153" s="5" t="s">
        <v>23</v>
      </c>
      <c r="S153" s="5" t="s">
        <v>101</v>
      </c>
      <c r="T153" s="5" t="s">
        <v>46</v>
      </c>
      <c r="U153" s="5" t="s">
        <v>46</v>
      </c>
      <c r="V153" s="5" t="s">
        <v>46</v>
      </c>
      <c r="W153" s="5">
        <v>0</v>
      </c>
      <c r="X153" s="10" t="s">
        <v>96</v>
      </c>
      <c r="Y153" s="10"/>
      <c r="Z153" s="10"/>
      <c r="AB153" s="2" t="str">
        <f>CONCATENATE(B153,C153,D153,",""",E153,""",",F153,",",G153,",",H153,",",I153,",",J153,",",K153,",",L153,",",M153,",",N153,",",O153,",",P153,",",Q153,",",R153,",",S153,",",T153,",",U153,",",V153,",",W153,"},//",Y$152,". ",Y153)</f>
        <v xml:space="preserve">/*1*/{" ","","","","",false,false,false,false,500.0,4,0,0,1000.0,0.0,50.0,false,false,false,0},//. </v>
      </c>
      <c r="AD153" s="12" t="str">
        <f t="shared" si="70"/>
        <v xml:space="preserve">float &amp; = Screens[6][1].Param;// Ссылка. . </v>
      </c>
      <c r="AE153" s="12" t="str">
        <f t="shared" si="71"/>
        <v xml:space="preserve">float ; //. </v>
      </c>
      <c r="AH153" s="12" t="str">
        <f t="shared" si="72"/>
        <v xml:space="preserve">Ref. = FlashMemory.;//. </v>
      </c>
      <c r="AI153" s="12" t="str">
        <f t="shared" si="73"/>
        <v xml:space="preserve">FlashMemory. = Ref.;//. </v>
      </c>
      <c r="AJ153" s="12" t="str">
        <f t="shared" si="74"/>
        <v xml:space="preserve">FlashMemory. = 500.0;//. </v>
      </c>
    </row>
    <row r="154" spans="1:36" x14ac:dyDescent="0.25">
      <c r="A154" s="17">
        <f t="shared" ref="A154:A171" si="76">A153+1</f>
        <v>2</v>
      </c>
      <c r="B154" s="8" t="s">
        <v>28</v>
      </c>
      <c r="C154" s="4" t="s">
        <v>24</v>
      </c>
      <c r="D154" s="5" t="s">
        <v>0</v>
      </c>
      <c r="E154" s="5"/>
      <c r="F154" s="5" t="s">
        <v>1</v>
      </c>
      <c r="G154" s="5" t="s">
        <v>1</v>
      </c>
      <c r="H154" s="17" t="str">
        <f t="shared" si="69"/>
        <v>""</v>
      </c>
      <c r="I154" s="5" t="s">
        <v>46</v>
      </c>
      <c r="J154" s="5" t="s">
        <v>46</v>
      </c>
      <c r="K154" s="5" t="s">
        <v>46</v>
      </c>
      <c r="L154" s="5" t="s">
        <v>46</v>
      </c>
      <c r="M154" s="5" t="s">
        <v>102</v>
      </c>
      <c r="N154" s="8">
        <f t="shared" si="75"/>
        <v>4</v>
      </c>
      <c r="O154" s="5">
        <v>0</v>
      </c>
      <c r="P154" s="5">
        <v>0</v>
      </c>
      <c r="Q154" s="5" t="s">
        <v>100</v>
      </c>
      <c r="R154" s="5" t="s">
        <v>23</v>
      </c>
      <c r="S154" s="5" t="s">
        <v>101</v>
      </c>
      <c r="T154" s="5" t="s">
        <v>46</v>
      </c>
      <c r="U154" s="5" t="s">
        <v>46</v>
      </c>
      <c r="V154" s="5" t="s">
        <v>46</v>
      </c>
      <c r="W154" s="5">
        <v>0</v>
      </c>
      <c r="X154" s="10" t="s">
        <v>96</v>
      </c>
      <c r="Y154" s="10"/>
      <c r="Z154" s="10"/>
      <c r="AB154" s="2" t="str">
        <f t="shared" ref="AB154:AB171" si="77">CONCATENATE(B154,C154,D154,",""",E154,""",",F154,",",G154,",",H154,",",I154,",",J154,",",K154,",",L154,",",M154,",",N154,",",O154,",",P154,",",Q154,",",R154,",",S154,",",T154,",",U154,",",V154,",",W154,"},//",Y$152,". ",Y154)</f>
        <v xml:space="preserve">/*2*/{" ","","","","",false,false,false,false,500.0,4,0,0,1000.0,0.0,50.0,false,false,false,0},//. </v>
      </c>
      <c r="AD154" s="12" t="str">
        <f t="shared" si="70"/>
        <v xml:space="preserve">float &amp; = Screens[6][2].Param;// Ссылка. . </v>
      </c>
      <c r="AE154" s="12" t="str">
        <f t="shared" si="71"/>
        <v xml:space="preserve">float ; //. </v>
      </c>
      <c r="AH154" s="12" t="str">
        <f t="shared" si="72"/>
        <v xml:space="preserve">Ref. = FlashMemory.;//. </v>
      </c>
      <c r="AI154" s="12" t="str">
        <f t="shared" si="73"/>
        <v xml:space="preserve">FlashMemory. = Ref.;//. </v>
      </c>
      <c r="AJ154" s="12" t="str">
        <f t="shared" si="74"/>
        <v xml:space="preserve">FlashMemory. = 500.0;//. </v>
      </c>
    </row>
    <row r="155" spans="1:36" x14ac:dyDescent="0.25">
      <c r="A155" s="17">
        <f t="shared" si="76"/>
        <v>3</v>
      </c>
      <c r="B155" s="8" t="s">
        <v>29</v>
      </c>
      <c r="C155" s="4" t="s">
        <v>24</v>
      </c>
      <c r="D155" s="5" t="s">
        <v>0</v>
      </c>
      <c r="E155" s="5"/>
      <c r="F155" s="5" t="s">
        <v>1</v>
      </c>
      <c r="G155" s="5" t="s">
        <v>1</v>
      </c>
      <c r="H155" s="17" t="str">
        <f t="shared" si="69"/>
        <v>""</v>
      </c>
      <c r="I155" s="5" t="s">
        <v>46</v>
      </c>
      <c r="J155" s="5" t="s">
        <v>46</v>
      </c>
      <c r="K155" s="5" t="s">
        <v>46</v>
      </c>
      <c r="L155" s="5" t="s">
        <v>46</v>
      </c>
      <c r="M155" s="5" t="s">
        <v>22</v>
      </c>
      <c r="N155" s="8">
        <f t="shared" si="75"/>
        <v>4</v>
      </c>
      <c r="O155" s="5">
        <v>0</v>
      </c>
      <c r="P155" s="5">
        <v>0</v>
      </c>
      <c r="Q155" s="5" t="s">
        <v>102</v>
      </c>
      <c r="R155" s="5" t="s">
        <v>23</v>
      </c>
      <c r="S155" s="5" t="s">
        <v>22</v>
      </c>
      <c r="T155" s="5" t="s">
        <v>46</v>
      </c>
      <c r="U155" s="5" t="s">
        <v>46</v>
      </c>
      <c r="V155" s="5" t="s">
        <v>46</v>
      </c>
      <c r="W155" s="5">
        <v>0</v>
      </c>
      <c r="X155" s="10" t="s">
        <v>96</v>
      </c>
      <c r="Y155" s="10"/>
      <c r="Z155" s="10"/>
      <c r="AB155" s="2" t="str">
        <f t="shared" si="77"/>
        <v xml:space="preserve">/*3*/{" ","","","","",false,false,false,false,10.0,4,0,0,500.0,0.0,10.0,false,false,false,0},//. </v>
      </c>
      <c r="AD155" s="12" t="str">
        <f t="shared" si="70"/>
        <v xml:space="preserve">float &amp; = Screens[6][3].Param;// Ссылка. . </v>
      </c>
      <c r="AE155" s="12" t="str">
        <f t="shared" si="71"/>
        <v xml:space="preserve">float ; //. </v>
      </c>
      <c r="AH155" s="12" t="str">
        <f t="shared" si="72"/>
        <v xml:space="preserve">Ref. = FlashMemory.;//. </v>
      </c>
      <c r="AI155" s="12" t="str">
        <f t="shared" si="73"/>
        <v xml:space="preserve">FlashMemory. = Ref.;//. </v>
      </c>
      <c r="AJ155" s="12" t="str">
        <f t="shared" si="74"/>
        <v xml:space="preserve">FlashMemory. = 10.0;//. </v>
      </c>
    </row>
    <row r="156" spans="1:36" x14ac:dyDescent="0.25">
      <c r="A156" s="17">
        <f t="shared" si="76"/>
        <v>4</v>
      </c>
      <c r="B156" s="8" t="s">
        <v>30</v>
      </c>
      <c r="C156" s="4" t="s">
        <v>24</v>
      </c>
      <c r="D156" s="5" t="s">
        <v>0</v>
      </c>
      <c r="E156" s="5"/>
      <c r="F156" s="5" t="s">
        <v>1</v>
      </c>
      <c r="G156" s="5" t="s">
        <v>1</v>
      </c>
      <c r="H156" s="17" t="str">
        <f t="shared" si="69"/>
        <v>""</v>
      </c>
      <c r="I156" s="5" t="s">
        <v>46</v>
      </c>
      <c r="J156" s="5" t="s">
        <v>46</v>
      </c>
      <c r="K156" s="5" t="s">
        <v>46</v>
      </c>
      <c r="L156" s="5" t="s">
        <v>46</v>
      </c>
      <c r="M156" s="5" t="s">
        <v>22</v>
      </c>
      <c r="N156" s="8">
        <f t="shared" si="75"/>
        <v>4</v>
      </c>
      <c r="O156" s="5">
        <v>0</v>
      </c>
      <c r="P156" s="5">
        <v>0</v>
      </c>
      <c r="Q156" s="5" t="s">
        <v>23</v>
      </c>
      <c r="R156" s="5" t="s">
        <v>23</v>
      </c>
      <c r="S156" s="5" t="s">
        <v>23</v>
      </c>
      <c r="T156" s="5" t="s">
        <v>46</v>
      </c>
      <c r="U156" s="5" t="s">
        <v>46</v>
      </c>
      <c r="V156" s="5" t="s">
        <v>46</v>
      </c>
      <c r="W156" s="5">
        <v>0</v>
      </c>
      <c r="X156" s="10" t="s">
        <v>77</v>
      </c>
      <c r="Y156" s="10"/>
      <c r="Z156" s="10"/>
      <c r="AB156" s="2" t="str">
        <f t="shared" si="77"/>
        <v xml:space="preserve">/*4*/{" ","","","","",false,false,false,false,10.0,4,0,0,0.0,0.0,0.0,false,false,false,0},//. </v>
      </c>
      <c r="AD156" s="12" t="str">
        <f t="shared" si="70"/>
        <v/>
      </c>
      <c r="AE156" s="12" t="str">
        <f t="shared" si="71"/>
        <v/>
      </c>
      <c r="AH156" s="12" t="str">
        <f t="shared" si="72"/>
        <v/>
      </c>
      <c r="AI156" s="12" t="str">
        <f t="shared" si="73"/>
        <v/>
      </c>
      <c r="AJ156" s="12" t="str">
        <f t="shared" si="74"/>
        <v/>
      </c>
    </row>
    <row r="157" spans="1:36" x14ac:dyDescent="0.25">
      <c r="A157" s="17">
        <f t="shared" si="76"/>
        <v>5</v>
      </c>
      <c r="B157" s="8" t="s">
        <v>31</v>
      </c>
      <c r="C157" s="4" t="s">
        <v>24</v>
      </c>
      <c r="D157" s="5" t="s">
        <v>0</v>
      </c>
      <c r="E157" s="5"/>
      <c r="F157" s="5" t="s">
        <v>1</v>
      </c>
      <c r="G157" s="5" t="s">
        <v>1</v>
      </c>
      <c r="H157" s="17" t="str">
        <f t="shared" si="69"/>
        <v>""</v>
      </c>
      <c r="I157" s="5" t="s">
        <v>46</v>
      </c>
      <c r="J157" s="5" t="s">
        <v>46</v>
      </c>
      <c r="K157" s="5" t="s">
        <v>46</v>
      </c>
      <c r="L157" s="5" t="s">
        <v>46</v>
      </c>
      <c r="M157" s="5" t="s">
        <v>22</v>
      </c>
      <c r="N157" s="8">
        <f t="shared" si="75"/>
        <v>4</v>
      </c>
      <c r="O157" s="5">
        <v>0</v>
      </c>
      <c r="P157" s="5">
        <v>0</v>
      </c>
      <c r="Q157" s="5" t="s">
        <v>23</v>
      </c>
      <c r="R157" s="5" t="s">
        <v>23</v>
      </c>
      <c r="S157" s="5" t="s">
        <v>23</v>
      </c>
      <c r="T157" s="5" t="s">
        <v>46</v>
      </c>
      <c r="U157" s="5" t="s">
        <v>46</v>
      </c>
      <c r="V157" s="5" t="s">
        <v>46</v>
      </c>
      <c r="W157" s="5">
        <v>0</v>
      </c>
      <c r="X157" s="10" t="s">
        <v>77</v>
      </c>
      <c r="Y157" s="10"/>
      <c r="Z157" s="10"/>
      <c r="AB157" s="2" t="str">
        <f t="shared" si="77"/>
        <v xml:space="preserve">/*5*/{" ","","","","",false,false,false,false,10.0,4,0,0,0.0,0.0,0.0,false,false,false,0},//. </v>
      </c>
      <c r="AD157" s="12" t="str">
        <f t="shared" si="70"/>
        <v/>
      </c>
      <c r="AE157" s="12" t="str">
        <f t="shared" si="71"/>
        <v/>
      </c>
      <c r="AH157" s="12" t="str">
        <f t="shared" si="72"/>
        <v/>
      </c>
      <c r="AI157" s="12" t="str">
        <f t="shared" si="73"/>
        <v/>
      </c>
      <c r="AJ157" s="12" t="str">
        <f t="shared" si="74"/>
        <v/>
      </c>
    </row>
    <row r="158" spans="1:36" x14ac:dyDescent="0.25">
      <c r="A158" s="17">
        <f t="shared" si="76"/>
        <v>6</v>
      </c>
      <c r="B158" s="8" t="s">
        <v>32</v>
      </c>
      <c r="C158" s="4" t="s">
        <v>24</v>
      </c>
      <c r="D158" s="5" t="s">
        <v>0</v>
      </c>
      <c r="E158" s="5"/>
      <c r="F158" s="5" t="s">
        <v>1</v>
      </c>
      <c r="G158" s="5" t="s">
        <v>1</v>
      </c>
      <c r="H158" s="17" t="str">
        <f t="shared" si="69"/>
        <v>""</v>
      </c>
      <c r="I158" s="5" t="s">
        <v>46</v>
      </c>
      <c r="J158" s="5" t="s">
        <v>46</v>
      </c>
      <c r="K158" s="5" t="s">
        <v>46</v>
      </c>
      <c r="L158" s="5" t="s">
        <v>46</v>
      </c>
      <c r="M158" s="5" t="s">
        <v>22</v>
      </c>
      <c r="N158" s="8">
        <f t="shared" si="75"/>
        <v>4</v>
      </c>
      <c r="O158" s="5">
        <v>0</v>
      </c>
      <c r="P158" s="5">
        <v>0</v>
      </c>
      <c r="Q158" s="5" t="s">
        <v>23</v>
      </c>
      <c r="R158" s="5" t="s">
        <v>23</v>
      </c>
      <c r="S158" s="5" t="s">
        <v>23</v>
      </c>
      <c r="T158" s="5" t="s">
        <v>46</v>
      </c>
      <c r="U158" s="5" t="s">
        <v>46</v>
      </c>
      <c r="V158" s="5" t="s">
        <v>46</v>
      </c>
      <c r="W158" s="5">
        <v>0</v>
      </c>
      <c r="X158" s="10" t="s">
        <v>77</v>
      </c>
      <c r="Y158" s="10"/>
      <c r="Z158" s="10"/>
      <c r="AB158" s="2" t="str">
        <f t="shared" si="77"/>
        <v xml:space="preserve">/*6*/{" ","","","","",false,false,false,false,10.0,4,0,0,0.0,0.0,0.0,false,false,false,0},//. </v>
      </c>
      <c r="AD158" s="12" t="str">
        <f t="shared" si="70"/>
        <v/>
      </c>
      <c r="AE158" s="12" t="str">
        <f t="shared" si="71"/>
        <v/>
      </c>
      <c r="AH158" s="12" t="str">
        <f t="shared" si="72"/>
        <v/>
      </c>
      <c r="AI158" s="12" t="str">
        <f t="shared" si="73"/>
        <v/>
      </c>
      <c r="AJ158" s="12" t="str">
        <f t="shared" si="74"/>
        <v/>
      </c>
    </row>
    <row r="159" spans="1:36" x14ac:dyDescent="0.25">
      <c r="A159" s="17">
        <f t="shared" si="76"/>
        <v>7</v>
      </c>
      <c r="B159" s="8" t="s">
        <v>33</v>
      </c>
      <c r="C159" s="4" t="s">
        <v>24</v>
      </c>
      <c r="D159" s="5" t="s">
        <v>0</v>
      </c>
      <c r="E159" s="5"/>
      <c r="F159" s="5" t="s">
        <v>1</v>
      </c>
      <c r="G159" s="5" t="s">
        <v>1</v>
      </c>
      <c r="H159" s="17" t="str">
        <f t="shared" si="69"/>
        <v>""</v>
      </c>
      <c r="I159" s="5" t="s">
        <v>46</v>
      </c>
      <c r="J159" s="5" t="s">
        <v>46</v>
      </c>
      <c r="K159" s="5" t="s">
        <v>46</v>
      </c>
      <c r="L159" s="5" t="s">
        <v>46</v>
      </c>
      <c r="M159" s="5" t="s">
        <v>22</v>
      </c>
      <c r="N159" s="8">
        <f t="shared" si="75"/>
        <v>4</v>
      </c>
      <c r="O159" s="5">
        <v>0</v>
      </c>
      <c r="P159" s="5">
        <v>0</v>
      </c>
      <c r="Q159" s="5" t="s">
        <v>23</v>
      </c>
      <c r="R159" s="5" t="s">
        <v>23</v>
      </c>
      <c r="S159" s="5" t="s">
        <v>23</v>
      </c>
      <c r="T159" s="5" t="s">
        <v>46</v>
      </c>
      <c r="U159" s="5" t="s">
        <v>46</v>
      </c>
      <c r="V159" s="5" t="s">
        <v>46</v>
      </c>
      <c r="W159" s="5">
        <v>0</v>
      </c>
      <c r="X159" s="10" t="s">
        <v>77</v>
      </c>
      <c r="Y159" s="10"/>
      <c r="Z159" s="10"/>
      <c r="AB159" s="2" t="str">
        <f t="shared" si="77"/>
        <v xml:space="preserve">/*7*/{" ","","","","",false,false,false,false,10.0,4,0,0,0.0,0.0,0.0,false,false,false,0},//. </v>
      </c>
      <c r="AD159" s="12" t="str">
        <f t="shared" si="70"/>
        <v/>
      </c>
      <c r="AE159" s="12" t="str">
        <f t="shared" si="71"/>
        <v/>
      </c>
      <c r="AH159" s="12" t="str">
        <f t="shared" si="72"/>
        <v/>
      </c>
      <c r="AI159" s="12" t="str">
        <f t="shared" si="73"/>
        <v/>
      </c>
      <c r="AJ159" s="12" t="str">
        <f t="shared" si="74"/>
        <v/>
      </c>
    </row>
    <row r="160" spans="1:36" x14ac:dyDescent="0.25">
      <c r="A160" s="17">
        <f t="shared" si="76"/>
        <v>8</v>
      </c>
      <c r="B160" s="8" t="s">
        <v>34</v>
      </c>
      <c r="C160" s="4" t="s">
        <v>24</v>
      </c>
      <c r="D160" s="5" t="s">
        <v>0</v>
      </c>
      <c r="E160" s="5"/>
      <c r="F160" s="5" t="s">
        <v>1</v>
      </c>
      <c r="G160" s="5" t="s">
        <v>1</v>
      </c>
      <c r="H160" s="17" t="str">
        <f t="shared" si="69"/>
        <v>""</v>
      </c>
      <c r="I160" s="5" t="s">
        <v>46</v>
      </c>
      <c r="J160" s="5" t="s">
        <v>46</v>
      </c>
      <c r="K160" s="5" t="s">
        <v>46</v>
      </c>
      <c r="L160" s="5" t="s">
        <v>46</v>
      </c>
      <c r="M160" s="5" t="s">
        <v>22</v>
      </c>
      <c r="N160" s="8">
        <f t="shared" si="75"/>
        <v>4</v>
      </c>
      <c r="O160" s="5">
        <v>0</v>
      </c>
      <c r="P160" s="5">
        <v>0</v>
      </c>
      <c r="Q160" s="5" t="s">
        <v>23</v>
      </c>
      <c r="R160" s="5" t="s">
        <v>23</v>
      </c>
      <c r="S160" s="5" t="s">
        <v>23</v>
      </c>
      <c r="T160" s="5" t="s">
        <v>46</v>
      </c>
      <c r="U160" s="5" t="s">
        <v>46</v>
      </c>
      <c r="V160" s="5" t="s">
        <v>46</v>
      </c>
      <c r="W160" s="5">
        <v>0</v>
      </c>
      <c r="X160" s="10" t="s">
        <v>77</v>
      </c>
      <c r="Y160" s="10"/>
      <c r="Z160" s="10"/>
      <c r="AB160" s="2" t="str">
        <f t="shared" si="77"/>
        <v xml:space="preserve">/*8*/{" ","","","","",false,false,false,false,10.0,4,0,0,0.0,0.0,0.0,false,false,false,0},//. </v>
      </c>
      <c r="AD160" s="12" t="str">
        <f t="shared" si="70"/>
        <v/>
      </c>
      <c r="AE160" s="12" t="str">
        <f t="shared" si="71"/>
        <v/>
      </c>
      <c r="AH160" s="12" t="str">
        <f t="shared" si="72"/>
        <v/>
      </c>
      <c r="AI160" s="12" t="str">
        <f t="shared" si="73"/>
        <v/>
      </c>
      <c r="AJ160" s="12" t="str">
        <f t="shared" si="74"/>
        <v/>
      </c>
    </row>
    <row r="161" spans="1:36" x14ac:dyDescent="0.25">
      <c r="A161" s="17">
        <f t="shared" si="76"/>
        <v>9</v>
      </c>
      <c r="B161" s="8" t="s">
        <v>35</v>
      </c>
      <c r="C161" s="4" t="s">
        <v>24</v>
      </c>
      <c r="D161" s="5" t="s">
        <v>0</v>
      </c>
      <c r="E161" s="5"/>
      <c r="F161" s="5" t="s">
        <v>1</v>
      </c>
      <c r="G161" s="5" t="s">
        <v>1</v>
      </c>
      <c r="H161" s="17" t="str">
        <f t="shared" si="69"/>
        <v>""</v>
      </c>
      <c r="I161" s="5" t="s">
        <v>46</v>
      </c>
      <c r="J161" s="5" t="s">
        <v>46</v>
      </c>
      <c r="K161" s="5" t="s">
        <v>46</v>
      </c>
      <c r="L161" s="5" t="s">
        <v>46</v>
      </c>
      <c r="M161" s="5" t="s">
        <v>22</v>
      </c>
      <c r="N161" s="8">
        <f t="shared" si="75"/>
        <v>4</v>
      </c>
      <c r="O161" s="5">
        <v>0</v>
      </c>
      <c r="P161" s="5">
        <v>0</v>
      </c>
      <c r="Q161" s="5" t="s">
        <v>23</v>
      </c>
      <c r="R161" s="5" t="s">
        <v>23</v>
      </c>
      <c r="S161" s="5" t="s">
        <v>23</v>
      </c>
      <c r="T161" s="5" t="s">
        <v>46</v>
      </c>
      <c r="U161" s="5" t="s">
        <v>46</v>
      </c>
      <c r="V161" s="5" t="s">
        <v>46</v>
      </c>
      <c r="W161" s="5">
        <v>0</v>
      </c>
      <c r="X161" s="10" t="s">
        <v>77</v>
      </c>
      <c r="Y161" s="10"/>
      <c r="Z161" s="10"/>
      <c r="AB161" s="2" t="str">
        <f t="shared" si="77"/>
        <v xml:space="preserve">/*9*/{" ","","","","",false,false,false,false,10.0,4,0,0,0.0,0.0,0.0,false,false,false,0},//. </v>
      </c>
      <c r="AD161" s="12" t="str">
        <f t="shared" si="70"/>
        <v/>
      </c>
      <c r="AE161" s="12" t="str">
        <f t="shared" si="71"/>
        <v/>
      </c>
      <c r="AH161" s="12" t="str">
        <f t="shared" si="72"/>
        <v/>
      </c>
      <c r="AI161" s="12" t="str">
        <f t="shared" si="73"/>
        <v/>
      </c>
      <c r="AJ161" s="12" t="str">
        <f t="shared" si="74"/>
        <v/>
      </c>
    </row>
    <row r="162" spans="1:36" x14ac:dyDescent="0.25">
      <c r="A162" s="17">
        <f t="shared" si="76"/>
        <v>10</v>
      </c>
      <c r="B162" s="8" t="s">
        <v>36</v>
      </c>
      <c r="C162" s="4" t="s">
        <v>24</v>
      </c>
      <c r="D162" s="5" t="s">
        <v>0</v>
      </c>
      <c r="E162" s="5"/>
      <c r="F162" s="5" t="s">
        <v>1</v>
      </c>
      <c r="G162" s="5" t="s">
        <v>1</v>
      </c>
      <c r="H162" s="17" t="str">
        <f t="shared" si="69"/>
        <v>""</v>
      </c>
      <c r="I162" s="5" t="s">
        <v>46</v>
      </c>
      <c r="J162" s="5" t="s">
        <v>46</v>
      </c>
      <c r="K162" s="5" t="s">
        <v>46</v>
      </c>
      <c r="L162" s="5" t="s">
        <v>46</v>
      </c>
      <c r="M162" s="5" t="s">
        <v>22</v>
      </c>
      <c r="N162" s="8">
        <f t="shared" si="75"/>
        <v>4</v>
      </c>
      <c r="O162" s="5">
        <v>0</v>
      </c>
      <c r="P162" s="5">
        <v>0</v>
      </c>
      <c r="Q162" s="5" t="s">
        <v>23</v>
      </c>
      <c r="R162" s="5" t="s">
        <v>23</v>
      </c>
      <c r="S162" s="5" t="s">
        <v>23</v>
      </c>
      <c r="T162" s="5" t="s">
        <v>46</v>
      </c>
      <c r="U162" s="5" t="s">
        <v>46</v>
      </c>
      <c r="V162" s="5" t="s">
        <v>46</v>
      </c>
      <c r="W162" s="5">
        <v>0</v>
      </c>
      <c r="X162" s="10" t="s">
        <v>77</v>
      </c>
      <c r="Y162" s="10"/>
      <c r="Z162" s="10"/>
      <c r="AB162" s="2" t="str">
        <f t="shared" si="77"/>
        <v xml:space="preserve">/*10*/{" ","","","","",false,false,false,false,10.0,4,0,0,0.0,0.0,0.0,false,false,false,0},//. </v>
      </c>
      <c r="AD162" s="12" t="str">
        <f t="shared" si="70"/>
        <v/>
      </c>
      <c r="AE162" s="12" t="str">
        <f t="shared" si="71"/>
        <v/>
      </c>
      <c r="AH162" s="12" t="str">
        <f t="shared" si="72"/>
        <v/>
      </c>
      <c r="AI162" s="12" t="str">
        <f t="shared" si="73"/>
        <v/>
      </c>
      <c r="AJ162" s="12" t="str">
        <f t="shared" si="74"/>
        <v/>
      </c>
    </row>
    <row r="163" spans="1:36" x14ac:dyDescent="0.25">
      <c r="A163" s="17">
        <f t="shared" si="76"/>
        <v>11</v>
      </c>
      <c r="B163" s="8" t="s">
        <v>37</v>
      </c>
      <c r="C163" s="4" t="s">
        <v>24</v>
      </c>
      <c r="D163" s="5" t="s">
        <v>0</v>
      </c>
      <c r="E163" s="5"/>
      <c r="F163" s="5" t="s">
        <v>1</v>
      </c>
      <c r="G163" s="5" t="s">
        <v>1</v>
      </c>
      <c r="H163" s="17" t="str">
        <f t="shared" ref="H163:H171" si="78">IF(AND(I163="true",J163="false"),""" ""","""""")</f>
        <v>""</v>
      </c>
      <c r="I163" s="5" t="s">
        <v>46</v>
      </c>
      <c r="J163" s="5" t="s">
        <v>46</v>
      </c>
      <c r="K163" s="5" t="s">
        <v>46</v>
      </c>
      <c r="L163" s="5" t="s">
        <v>46</v>
      </c>
      <c r="M163" s="5" t="s">
        <v>22</v>
      </c>
      <c r="N163" s="8">
        <f t="shared" ref="N163:N171" si="79">N162</f>
        <v>4</v>
      </c>
      <c r="O163" s="5">
        <v>0</v>
      </c>
      <c r="P163" s="5">
        <v>0</v>
      </c>
      <c r="Q163" s="5" t="s">
        <v>23</v>
      </c>
      <c r="R163" s="5" t="s">
        <v>23</v>
      </c>
      <c r="S163" s="5" t="s">
        <v>23</v>
      </c>
      <c r="T163" s="5" t="s">
        <v>46</v>
      </c>
      <c r="U163" s="5" t="s">
        <v>46</v>
      </c>
      <c r="V163" s="5" t="s">
        <v>46</v>
      </c>
      <c r="W163" s="5">
        <v>0</v>
      </c>
      <c r="X163" s="10" t="s">
        <v>77</v>
      </c>
      <c r="Y163" s="10"/>
      <c r="Z163" s="10"/>
      <c r="AB163" s="2" t="str">
        <f t="shared" si="77"/>
        <v xml:space="preserve">/*11*/{" ","","","","",false,false,false,false,10.0,4,0,0,0.0,0.0,0.0,false,false,false,0},//. </v>
      </c>
      <c r="AD163" s="12" t="str">
        <f t="shared" si="70"/>
        <v/>
      </c>
      <c r="AE163" s="12" t="str">
        <f t="shared" si="71"/>
        <v/>
      </c>
      <c r="AH163" s="12" t="str">
        <f t="shared" si="72"/>
        <v/>
      </c>
      <c r="AI163" s="12" t="str">
        <f t="shared" si="73"/>
        <v/>
      </c>
      <c r="AJ163" s="12" t="str">
        <f t="shared" si="74"/>
        <v/>
      </c>
    </row>
    <row r="164" spans="1:36" x14ac:dyDescent="0.25">
      <c r="A164" s="17">
        <f t="shared" si="76"/>
        <v>12</v>
      </c>
      <c r="B164" s="8" t="s">
        <v>38</v>
      </c>
      <c r="C164" s="4" t="s">
        <v>24</v>
      </c>
      <c r="D164" s="5" t="s">
        <v>0</v>
      </c>
      <c r="E164" s="5"/>
      <c r="F164" s="5" t="s">
        <v>1</v>
      </c>
      <c r="G164" s="5" t="s">
        <v>1</v>
      </c>
      <c r="H164" s="17" t="str">
        <f t="shared" si="78"/>
        <v>""</v>
      </c>
      <c r="I164" s="5" t="s">
        <v>46</v>
      </c>
      <c r="J164" s="5" t="s">
        <v>46</v>
      </c>
      <c r="K164" s="5" t="s">
        <v>46</v>
      </c>
      <c r="L164" s="5" t="s">
        <v>46</v>
      </c>
      <c r="M164" s="5" t="s">
        <v>22</v>
      </c>
      <c r="N164" s="8">
        <f t="shared" si="79"/>
        <v>4</v>
      </c>
      <c r="O164" s="5">
        <v>0</v>
      </c>
      <c r="P164" s="5">
        <v>0</v>
      </c>
      <c r="Q164" s="5" t="s">
        <v>23</v>
      </c>
      <c r="R164" s="5" t="s">
        <v>23</v>
      </c>
      <c r="S164" s="5" t="s">
        <v>23</v>
      </c>
      <c r="T164" s="5" t="s">
        <v>46</v>
      </c>
      <c r="U164" s="5" t="s">
        <v>46</v>
      </c>
      <c r="V164" s="5" t="s">
        <v>46</v>
      </c>
      <c r="W164" s="5">
        <v>0</v>
      </c>
      <c r="X164" s="10" t="s">
        <v>77</v>
      </c>
      <c r="Y164" s="10"/>
      <c r="Z164" s="10"/>
      <c r="AB164" s="2" t="str">
        <f t="shared" si="77"/>
        <v xml:space="preserve">/*12*/{" ","","","","",false,false,false,false,10.0,4,0,0,0.0,0.0,0.0,false,false,false,0},//. </v>
      </c>
      <c r="AD164" s="12" t="str">
        <f t="shared" si="70"/>
        <v/>
      </c>
      <c r="AE164" s="12" t="str">
        <f t="shared" si="71"/>
        <v/>
      </c>
      <c r="AH164" s="12" t="str">
        <f t="shared" si="72"/>
        <v/>
      </c>
      <c r="AI164" s="12" t="str">
        <f t="shared" si="73"/>
        <v/>
      </c>
      <c r="AJ164" s="12" t="str">
        <f t="shared" si="74"/>
        <v/>
      </c>
    </row>
    <row r="165" spans="1:36" x14ac:dyDescent="0.25">
      <c r="A165" s="17">
        <f t="shared" si="76"/>
        <v>13</v>
      </c>
      <c r="B165" s="8" t="s">
        <v>39</v>
      </c>
      <c r="C165" s="4" t="s">
        <v>24</v>
      </c>
      <c r="D165" s="5" t="s">
        <v>0</v>
      </c>
      <c r="E165" s="5"/>
      <c r="F165" s="5" t="s">
        <v>1</v>
      </c>
      <c r="G165" s="5" t="s">
        <v>1</v>
      </c>
      <c r="H165" s="17" t="str">
        <f t="shared" si="78"/>
        <v>""</v>
      </c>
      <c r="I165" s="5" t="s">
        <v>46</v>
      </c>
      <c r="J165" s="5" t="s">
        <v>46</v>
      </c>
      <c r="K165" s="5" t="s">
        <v>46</v>
      </c>
      <c r="L165" s="5" t="s">
        <v>46</v>
      </c>
      <c r="M165" s="5" t="s">
        <v>22</v>
      </c>
      <c r="N165" s="8">
        <f t="shared" si="79"/>
        <v>4</v>
      </c>
      <c r="O165" s="5">
        <v>0</v>
      </c>
      <c r="P165" s="5">
        <v>0</v>
      </c>
      <c r="Q165" s="5" t="s">
        <v>23</v>
      </c>
      <c r="R165" s="5" t="s">
        <v>23</v>
      </c>
      <c r="S165" s="5" t="s">
        <v>23</v>
      </c>
      <c r="T165" s="5" t="s">
        <v>46</v>
      </c>
      <c r="U165" s="5" t="s">
        <v>46</v>
      </c>
      <c r="V165" s="5" t="s">
        <v>46</v>
      </c>
      <c r="W165" s="5">
        <v>0</v>
      </c>
      <c r="X165" s="10" t="s">
        <v>77</v>
      </c>
      <c r="Y165" s="10"/>
      <c r="Z165" s="10"/>
      <c r="AB165" s="2" t="str">
        <f t="shared" si="77"/>
        <v xml:space="preserve">/*13*/{" ","","","","",false,false,false,false,10.0,4,0,0,0.0,0.0,0.0,false,false,false,0},//. </v>
      </c>
      <c r="AD165" s="12" t="str">
        <f t="shared" si="70"/>
        <v/>
      </c>
      <c r="AE165" s="12" t="str">
        <f t="shared" si="71"/>
        <v/>
      </c>
      <c r="AH165" s="12" t="str">
        <f t="shared" si="72"/>
        <v/>
      </c>
      <c r="AI165" s="12" t="str">
        <f t="shared" si="73"/>
        <v/>
      </c>
      <c r="AJ165" s="12" t="str">
        <f t="shared" si="74"/>
        <v/>
      </c>
    </row>
    <row r="166" spans="1:36" x14ac:dyDescent="0.25">
      <c r="A166" s="17">
        <f t="shared" si="76"/>
        <v>14</v>
      </c>
      <c r="B166" s="8" t="s">
        <v>40</v>
      </c>
      <c r="C166" s="4" t="s">
        <v>24</v>
      </c>
      <c r="D166" s="5" t="s">
        <v>0</v>
      </c>
      <c r="E166" s="5"/>
      <c r="F166" s="5" t="s">
        <v>1</v>
      </c>
      <c r="G166" s="5" t="s">
        <v>1</v>
      </c>
      <c r="H166" s="17" t="str">
        <f t="shared" si="78"/>
        <v>""</v>
      </c>
      <c r="I166" s="5" t="s">
        <v>46</v>
      </c>
      <c r="J166" s="5" t="s">
        <v>46</v>
      </c>
      <c r="K166" s="5" t="s">
        <v>46</v>
      </c>
      <c r="L166" s="5" t="s">
        <v>46</v>
      </c>
      <c r="M166" s="5" t="s">
        <v>22</v>
      </c>
      <c r="N166" s="8">
        <f t="shared" si="79"/>
        <v>4</v>
      </c>
      <c r="O166" s="5">
        <v>0</v>
      </c>
      <c r="P166" s="5">
        <v>0</v>
      </c>
      <c r="Q166" s="5" t="s">
        <v>23</v>
      </c>
      <c r="R166" s="5" t="s">
        <v>23</v>
      </c>
      <c r="S166" s="5" t="s">
        <v>23</v>
      </c>
      <c r="T166" s="5" t="s">
        <v>46</v>
      </c>
      <c r="U166" s="5" t="s">
        <v>46</v>
      </c>
      <c r="V166" s="5" t="s">
        <v>46</v>
      </c>
      <c r="W166" s="5">
        <v>0</v>
      </c>
      <c r="X166" s="10" t="s">
        <v>77</v>
      </c>
      <c r="Y166" s="10"/>
      <c r="Z166" s="10"/>
      <c r="AB166" s="2" t="str">
        <f t="shared" si="77"/>
        <v xml:space="preserve">/*14*/{" ","","","","",false,false,false,false,10.0,4,0,0,0.0,0.0,0.0,false,false,false,0},//. </v>
      </c>
      <c r="AD166" s="12" t="str">
        <f t="shared" si="70"/>
        <v/>
      </c>
      <c r="AE166" s="12" t="str">
        <f t="shared" si="71"/>
        <v/>
      </c>
      <c r="AH166" s="12" t="str">
        <f t="shared" si="72"/>
        <v/>
      </c>
      <c r="AI166" s="12" t="str">
        <f t="shared" si="73"/>
        <v/>
      </c>
      <c r="AJ166" s="12" t="str">
        <f t="shared" si="74"/>
        <v/>
      </c>
    </row>
    <row r="167" spans="1:36" x14ac:dyDescent="0.25">
      <c r="A167" s="17">
        <f t="shared" si="76"/>
        <v>15</v>
      </c>
      <c r="B167" s="8" t="s">
        <v>41</v>
      </c>
      <c r="C167" s="4" t="s">
        <v>24</v>
      </c>
      <c r="D167" s="5" t="s">
        <v>0</v>
      </c>
      <c r="E167" s="5"/>
      <c r="F167" s="5" t="s">
        <v>1</v>
      </c>
      <c r="G167" s="5" t="s">
        <v>1</v>
      </c>
      <c r="H167" s="17" t="str">
        <f t="shared" si="78"/>
        <v>""</v>
      </c>
      <c r="I167" s="5" t="s">
        <v>46</v>
      </c>
      <c r="J167" s="5" t="s">
        <v>46</v>
      </c>
      <c r="K167" s="5" t="s">
        <v>46</v>
      </c>
      <c r="L167" s="5" t="s">
        <v>46</v>
      </c>
      <c r="M167" s="5" t="s">
        <v>22</v>
      </c>
      <c r="N167" s="8">
        <f t="shared" si="79"/>
        <v>4</v>
      </c>
      <c r="O167" s="5">
        <v>0</v>
      </c>
      <c r="P167" s="5">
        <v>0</v>
      </c>
      <c r="Q167" s="5" t="s">
        <v>23</v>
      </c>
      <c r="R167" s="5" t="s">
        <v>23</v>
      </c>
      <c r="S167" s="5" t="s">
        <v>23</v>
      </c>
      <c r="T167" s="5" t="s">
        <v>46</v>
      </c>
      <c r="U167" s="5" t="s">
        <v>46</v>
      </c>
      <c r="V167" s="5" t="s">
        <v>46</v>
      </c>
      <c r="W167" s="5">
        <v>0</v>
      </c>
      <c r="X167" s="10" t="s">
        <v>77</v>
      </c>
      <c r="Y167" s="10"/>
      <c r="Z167" s="10"/>
      <c r="AB167" s="2" t="str">
        <f t="shared" si="77"/>
        <v xml:space="preserve">/*15*/{" ","","","","",false,false,false,false,10.0,4,0,0,0.0,0.0,0.0,false,false,false,0},//. </v>
      </c>
      <c r="AD167" s="12" t="str">
        <f t="shared" si="70"/>
        <v/>
      </c>
      <c r="AE167" s="12" t="str">
        <f t="shared" si="71"/>
        <v/>
      </c>
      <c r="AH167" s="12" t="str">
        <f t="shared" si="72"/>
        <v/>
      </c>
      <c r="AI167" s="12" t="str">
        <f t="shared" si="73"/>
        <v/>
      </c>
      <c r="AJ167" s="12" t="str">
        <f t="shared" si="74"/>
        <v/>
      </c>
    </row>
    <row r="168" spans="1:36" x14ac:dyDescent="0.25">
      <c r="A168" s="17">
        <f t="shared" si="76"/>
        <v>16</v>
      </c>
      <c r="B168" s="8" t="s">
        <v>42</v>
      </c>
      <c r="C168" s="4" t="s">
        <v>24</v>
      </c>
      <c r="D168" s="5" t="s">
        <v>0</v>
      </c>
      <c r="E168" s="5"/>
      <c r="F168" s="5" t="s">
        <v>1</v>
      </c>
      <c r="G168" s="5" t="s">
        <v>1</v>
      </c>
      <c r="H168" s="17" t="str">
        <f t="shared" si="78"/>
        <v>""</v>
      </c>
      <c r="I168" s="5" t="s">
        <v>46</v>
      </c>
      <c r="J168" s="5" t="s">
        <v>46</v>
      </c>
      <c r="K168" s="5" t="s">
        <v>46</v>
      </c>
      <c r="L168" s="5" t="s">
        <v>46</v>
      </c>
      <c r="M168" s="5" t="s">
        <v>22</v>
      </c>
      <c r="N168" s="8">
        <f t="shared" si="79"/>
        <v>4</v>
      </c>
      <c r="O168" s="5">
        <v>0</v>
      </c>
      <c r="P168" s="5">
        <v>0</v>
      </c>
      <c r="Q168" s="5" t="s">
        <v>23</v>
      </c>
      <c r="R168" s="5" t="s">
        <v>23</v>
      </c>
      <c r="S168" s="5" t="s">
        <v>23</v>
      </c>
      <c r="T168" s="5" t="s">
        <v>46</v>
      </c>
      <c r="U168" s="5" t="s">
        <v>46</v>
      </c>
      <c r="V168" s="5" t="s">
        <v>46</v>
      </c>
      <c r="W168" s="5">
        <v>0</v>
      </c>
      <c r="X168" s="10" t="s">
        <v>77</v>
      </c>
      <c r="Y168" s="10"/>
      <c r="Z168" s="10"/>
      <c r="AB168" s="2" t="str">
        <f t="shared" si="77"/>
        <v xml:space="preserve">/*16*/{" ","","","","",false,false,false,false,10.0,4,0,0,0.0,0.0,0.0,false,false,false,0},//. </v>
      </c>
      <c r="AD168" s="12" t="str">
        <f t="shared" si="70"/>
        <v/>
      </c>
      <c r="AE168" s="12" t="str">
        <f t="shared" si="71"/>
        <v/>
      </c>
      <c r="AH168" s="12" t="str">
        <f t="shared" si="72"/>
        <v/>
      </c>
      <c r="AI168" s="12" t="str">
        <f t="shared" si="73"/>
        <v/>
      </c>
      <c r="AJ168" s="12" t="str">
        <f t="shared" si="74"/>
        <v/>
      </c>
    </row>
    <row r="169" spans="1:36" x14ac:dyDescent="0.25">
      <c r="A169" s="17">
        <f t="shared" si="76"/>
        <v>17</v>
      </c>
      <c r="B169" s="8" t="s">
        <v>43</v>
      </c>
      <c r="C169" s="4" t="s">
        <v>24</v>
      </c>
      <c r="D169" s="5" t="s">
        <v>0</v>
      </c>
      <c r="E169" s="5"/>
      <c r="F169" s="5" t="s">
        <v>1</v>
      </c>
      <c r="G169" s="5" t="s">
        <v>1</v>
      </c>
      <c r="H169" s="17" t="str">
        <f t="shared" si="78"/>
        <v>""</v>
      </c>
      <c r="I169" s="5" t="s">
        <v>46</v>
      </c>
      <c r="J169" s="5" t="s">
        <v>46</v>
      </c>
      <c r="K169" s="5" t="s">
        <v>46</v>
      </c>
      <c r="L169" s="5" t="s">
        <v>46</v>
      </c>
      <c r="M169" s="5" t="s">
        <v>22</v>
      </c>
      <c r="N169" s="8">
        <f t="shared" si="79"/>
        <v>4</v>
      </c>
      <c r="O169" s="5">
        <v>0</v>
      </c>
      <c r="P169" s="5">
        <v>0</v>
      </c>
      <c r="Q169" s="5" t="s">
        <v>23</v>
      </c>
      <c r="R169" s="5" t="s">
        <v>23</v>
      </c>
      <c r="S169" s="5" t="s">
        <v>23</v>
      </c>
      <c r="T169" s="5" t="s">
        <v>46</v>
      </c>
      <c r="U169" s="5" t="s">
        <v>46</v>
      </c>
      <c r="V169" s="5" t="s">
        <v>46</v>
      </c>
      <c r="W169" s="5">
        <v>0</v>
      </c>
      <c r="X169" s="10" t="s">
        <v>77</v>
      </c>
      <c r="Y169" s="10"/>
      <c r="Z169" s="10"/>
      <c r="AB169" s="2" t="str">
        <f t="shared" si="77"/>
        <v xml:space="preserve">/*17*/{" ","","","","",false,false,false,false,10.0,4,0,0,0.0,0.0,0.0,false,false,false,0},//. </v>
      </c>
      <c r="AD169" s="12" t="str">
        <f t="shared" si="70"/>
        <v/>
      </c>
      <c r="AE169" s="12" t="str">
        <f t="shared" si="71"/>
        <v/>
      </c>
      <c r="AH169" s="12" t="str">
        <f t="shared" si="72"/>
        <v/>
      </c>
      <c r="AI169" s="12" t="str">
        <f t="shared" si="73"/>
        <v/>
      </c>
      <c r="AJ169" s="12" t="str">
        <f t="shared" si="74"/>
        <v/>
      </c>
    </row>
    <row r="170" spans="1:36" x14ac:dyDescent="0.25">
      <c r="A170" s="17">
        <f t="shared" si="76"/>
        <v>18</v>
      </c>
      <c r="B170" s="8" t="s">
        <v>44</v>
      </c>
      <c r="C170" s="4" t="s">
        <v>24</v>
      </c>
      <c r="D170" s="5" t="s">
        <v>0</v>
      </c>
      <c r="E170" s="5"/>
      <c r="F170" s="5" t="s">
        <v>1</v>
      </c>
      <c r="G170" s="5" t="s">
        <v>1</v>
      </c>
      <c r="H170" s="17" t="str">
        <f t="shared" si="78"/>
        <v>""</v>
      </c>
      <c r="I170" s="5" t="s">
        <v>46</v>
      </c>
      <c r="J170" s="5" t="s">
        <v>46</v>
      </c>
      <c r="K170" s="5" t="s">
        <v>46</v>
      </c>
      <c r="L170" s="5" t="s">
        <v>46</v>
      </c>
      <c r="M170" s="5" t="s">
        <v>22</v>
      </c>
      <c r="N170" s="8">
        <f t="shared" si="79"/>
        <v>4</v>
      </c>
      <c r="O170" s="5">
        <v>0</v>
      </c>
      <c r="P170" s="5">
        <v>0</v>
      </c>
      <c r="Q170" s="5" t="s">
        <v>23</v>
      </c>
      <c r="R170" s="5" t="s">
        <v>23</v>
      </c>
      <c r="S170" s="5" t="s">
        <v>23</v>
      </c>
      <c r="T170" s="5" t="s">
        <v>46</v>
      </c>
      <c r="U170" s="5" t="s">
        <v>46</v>
      </c>
      <c r="V170" s="5" t="s">
        <v>46</v>
      </c>
      <c r="W170" s="5">
        <v>0</v>
      </c>
      <c r="X170" s="10" t="s">
        <v>77</v>
      </c>
      <c r="Y170" s="10"/>
      <c r="Z170" s="10"/>
      <c r="AB170" s="2" t="str">
        <f t="shared" si="77"/>
        <v xml:space="preserve">/*18*/{" ","","","","",false,false,false,false,10.0,4,0,0,0.0,0.0,0.0,false,false,false,0},//. </v>
      </c>
      <c r="AD170" s="12" t="str">
        <f t="shared" si="70"/>
        <v/>
      </c>
      <c r="AE170" s="12" t="str">
        <f t="shared" si="71"/>
        <v/>
      </c>
      <c r="AH170" s="12" t="str">
        <f t="shared" si="72"/>
        <v/>
      </c>
      <c r="AI170" s="12" t="str">
        <f t="shared" si="73"/>
        <v/>
      </c>
      <c r="AJ170" s="12" t="str">
        <f t="shared" si="74"/>
        <v/>
      </c>
    </row>
    <row r="171" spans="1:36" x14ac:dyDescent="0.25">
      <c r="A171" s="17">
        <f t="shared" si="76"/>
        <v>19</v>
      </c>
      <c r="B171" s="8" t="s">
        <v>45</v>
      </c>
      <c r="C171" s="4" t="s">
        <v>24</v>
      </c>
      <c r="D171" s="5" t="s">
        <v>0</v>
      </c>
      <c r="E171" s="5"/>
      <c r="F171" s="5" t="s">
        <v>1</v>
      </c>
      <c r="G171" s="5" t="s">
        <v>1</v>
      </c>
      <c r="H171" s="17" t="str">
        <f t="shared" si="78"/>
        <v>""</v>
      </c>
      <c r="I171" s="5" t="s">
        <v>46</v>
      </c>
      <c r="J171" s="5" t="s">
        <v>46</v>
      </c>
      <c r="K171" s="5" t="s">
        <v>46</v>
      </c>
      <c r="L171" s="5" t="s">
        <v>46</v>
      </c>
      <c r="M171" s="5" t="s">
        <v>22</v>
      </c>
      <c r="N171" s="8">
        <f t="shared" si="79"/>
        <v>4</v>
      </c>
      <c r="O171" s="5">
        <v>0</v>
      </c>
      <c r="P171" s="5">
        <v>0</v>
      </c>
      <c r="Q171" s="5" t="s">
        <v>23</v>
      </c>
      <c r="R171" s="5" t="s">
        <v>23</v>
      </c>
      <c r="S171" s="5" t="s">
        <v>23</v>
      </c>
      <c r="T171" s="5" t="s">
        <v>46</v>
      </c>
      <c r="U171" s="5" t="s">
        <v>46</v>
      </c>
      <c r="V171" s="5" t="s">
        <v>46</v>
      </c>
      <c r="W171" s="5">
        <v>0</v>
      </c>
      <c r="X171" s="10" t="s">
        <v>77</v>
      </c>
      <c r="Y171" s="10"/>
      <c r="Z171" s="10"/>
      <c r="AB171" s="2" t="str">
        <f t="shared" si="77"/>
        <v xml:space="preserve">/*19*/{" ","","","","",false,false,false,false,10.0,4,0,0,0.0,0.0,0.0,false,false,false,0},//. </v>
      </c>
      <c r="AD171" s="12" t="str">
        <f>IF(X171="Да",CONCATENATE("float &amp;",SUBSTITUTE(Z171," ","")," = Screens[",$A$149,"][",A171,"].Param;// Ссылка. ",$Y$152,". ",Y171),"")</f>
        <v/>
      </c>
      <c r="AE171" s="12" t="str">
        <f t="shared" si="71"/>
        <v/>
      </c>
      <c r="AH171" s="12" t="str">
        <f>IF(X171="Да",CONCATENATE("Ref.",,SUBSTITUTE(Z171," ","")," = ",$AI$1,$B$149,SUBSTITUTE(E171," ",""),";//",$Y$152,". ",Y171),"")</f>
        <v/>
      </c>
      <c r="AI171" s="12" t="str">
        <f t="shared" si="73"/>
        <v/>
      </c>
      <c r="AJ171" s="12" t="str">
        <f>IF(X171="Да",CONCATENATE($AI$1,SUBSTITUTE(Z171," ","")," = ",M171,";//",$Y$152,". ",Y171),"")</f>
        <v/>
      </c>
    </row>
    <row r="172" spans="1:36" x14ac:dyDescent="0.25">
      <c r="AB172" s="3" t="s">
        <v>25</v>
      </c>
    </row>
    <row r="173" spans="1:36" x14ac:dyDescent="0.25">
      <c r="A173" s="14">
        <f>A149+1</f>
        <v>7</v>
      </c>
      <c r="B173" s="12">
        <f>E176</f>
        <v>0</v>
      </c>
      <c r="D173" s="7" t="s">
        <v>61</v>
      </c>
      <c r="AB173" s="3" t="s">
        <v>51</v>
      </c>
    </row>
    <row r="174" spans="1:36" ht="45" x14ac:dyDescent="0.25">
      <c r="A174" s="15" t="s">
        <v>78</v>
      </c>
      <c r="B174" s="18"/>
      <c r="C174" s="6" t="s">
        <v>25</v>
      </c>
      <c r="D174" s="6" t="s">
        <v>17</v>
      </c>
      <c r="E174" s="6" t="s">
        <v>18</v>
      </c>
      <c r="F174" s="6" t="s">
        <v>19</v>
      </c>
      <c r="G174" s="6" t="s">
        <v>20</v>
      </c>
      <c r="H174" s="6" t="s">
        <v>21</v>
      </c>
      <c r="I174" s="6" t="s">
        <v>2</v>
      </c>
      <c r="J174" s="6" t="s">
        <v>3</v>
      </c>
      <c r="K174" s="6" t="s">
        <v>4</v>
      </c>
      <c r="L174" s="6" t="s">
        <v>5</v>
      </c>
      <c r="M174" s="6" t="s">
        <v>6</v>
      </c>
      <c r="N174" s="6" t="s">
        <v>7</v>
      </c>
      <c r="O174" s="6" t="s">
        <v>8</v>
      </c>
      <c r="P174" s="6" t="s">
        <v>9</v>
      </c>
      <c r="Q174" s="6" t="s">
        <v>10</v>
      </c>
      <c r="R174" s="6" t="s">
        <v>11</v>
      </c>
      <c r="S174" s="6" t="s">
        <v>12</v>
      </c>
      <c r="T174" s="6" t="s">
        <v>13</v>
      </c>
      <c r="U174" s="6" t="s">
        <v>14</v>
      </c>
      <c r="V174" s="6" t="s">
        <v>15</v>
      </c>
      <c r="W174" s="6" t="s">
        <v>16</v>
      </c>
      <c r="X174" s="6" t="s">
        <v>76</v>
      </c>
      <c r="Y174" s="6" t="s">
        <v>80</v>
      </c>
      <c r="Z174" s="6" t="s">
        <v>97</v>
      </c>
      <c r="AA174" s="1"/>
      <c r="AB174" s="2" t="str">
        <f>CONCATENATE(D173," - ",E176)</f>
        <v xml:space="preserve">//Экран 7 - </v>
      </c>
      <c r="AD174" s="19" t="s">
        <v>81</v>
      </c>
      <c r="AE174" s="19" t="s">
        <v>82</v>
      </c>
      <c r="AF174" s="5"/>
      <c r="AG174" s="5"/>
      <c r="AH174" s="19" t="s">
        <v>83</v>
      </c>
      <c r="AI174" s="19" t="s">
        <v>84</v>
      </c>
      <c r="AJ174" s="19" t="s">
        <v>85</v>
      </c>
    </row>
    <row r="175" spans="1:36" x14ac:dyDescent="0.25">
      <c r="A175" s="16"/>
      <c r="B175" s="13"/>
      <c r="C175" s="4" t="s">
        <v>24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11"/>
      <c r="Y175" s="11"/>
      <c r="Z175" s="11"/>
      <c r="AA175" s="1"/>
      <c r="AB175" s="3" t="str">
        <f>C175</f>
        <v>{</v>
      </c>
    </row>
    <row r="176" spans="1:36" x14ac:dyDescent="0.25">
      <c r="A176" s="17">
        <v>0</v>
      </c>
      <c r="B176" s="8" t="s">
        <v>27</v>
      </c>
      <c r="C176" s="4" t="s">
        <v>24</v>
      </c>
      <c r="D176" s="5" t="s">
        <v>0</v>
      </c>
      <c r="E176" s="5"/>
      <c r="F176" s="5" t="s">
        <v>1</v>
      </c>
      <c r="G176" s="5" t="s">
        <v>1</v>
      </c>
      <c r="H176" s="17" t="str">
        <f t="shared" ref="H176:H181" si="80">IF(AND(I176="true",J176="false"),""" ""","""""")</f>
        <v>""</v>
      </c>
      <c r="I176" s="5" t="s">
        <v>46</v>
      </c>
      <c r="J176" s="5" t="s">
        <v>46</v>
      </c>
      <c r="K176" s="5" t="s">
        <v>46</v>
      </c>
      <c r="L176" s="5" t="s">
        <v>46</v>
      </c>
      <c r="M176" s="5" t="s">
        <v>22</v>
      </c>
      <c r="N176" s="8">
        <f t="shared" ref="N176:N181" si="81">N175</f>
        <v>0</v>
      </c>
      <c r="O176" s="5">
        <v>0</v>
      </c>
      <c r="P176" s="5">
        <v>0</v>
      </c>
      <c r="Q176" s="5" t="s">
        <v>23</v>
      </c>
      <c r="R176" s="5" t="s">
        <v>23</v>
      </c>
      <c r="S176" s="5" t="s">
        <v>23</v>
      </c>
      <c r="T176" s="5" t="s">
        <v>46</v>
      </c>
      <c r="U176" s="5" t="s">
        <v>46</v>
      </c>
      <c r="V176" s="5" t="s">
        <v>46</v>
      </c>
      <c r="W176" s="5">
        <v>0</v>
      </c>
      <c r="X176" s="10" t="s">
        <v>77</v>
      </c>
      <c r="Y176" s="10"/>
      <c r="Z176" s="10"/>
      <c r="AB176" s="2" t="str">
        <f>CONCATENATE(B176,C176,D176,",""",E176,""",",F176,",",G176,",",H176,",",I176,",",J176,",",K176,",",L176,",",M176,",",N176,",",O176,",",P176,",",Q176,",",R176,",",S176,",",T176,",",U176,",",V176,",",W176,"},//",Y176)</f>
        <v>/*0*/{" ","","","","",false,false,false,false,10.0,0,0,0,0.0,0.0,0.0,false,false,false,0},//</v>
      </c>
      <c r="AD176" s="12" t="str">
        <f t="shared" ref="AD176:AD194" si="82">IF(X176="Да",IF(T176="false",CONCATENATE("float &amp;",SUBSTITUTE(Z176," ","")," = Screens[",$A$173,"][",A176,"].Param;// Ссылка. ",$Y$176,". ",Y176),CONCATENATE("bool &amp;",SUBSTITUTE(Z176," ","")," = Screens[",$A$173,"][",A176,"].BoolParam;// Ссылка. ",$Y$176,". ",Y176)),"")</f>
        <v/>
      </c>
      <c r="AE176" s="12" t="str">
        <f t="shared" ref="AE176:AE195" si="83">IF(X176="Да",IF(T176="false",CONCATENATE("float ",SUBSTITUTE(Z176," ",""),"; //",$Y$176,". ",Y176),CONCATENATE("bool ",SUBSTITUTE(Z176," ",""),"; //",$Y$176,". ",Y176)),"")</f>
        <v/>
      </c>
      <c r="AH176" s="12" t="str">
        <f t="shared" ref="AH176:AH194" si="84">IF(X176="Да",CONCATENATE("Ref.",,SUBSTITUTE(Z176," ","")," = ",$AI$1,SUBSTITUTE(Z176," ",""),";//",$Y$176,". ",Y176),"")</f>
        <v/>
      </c>
      <c r="AI176" s="12" t="str">
        <f t="shared" ref="AI176:AI195" si="85">IF(X176="Да",CONCATENATE($AI$1,SUBSTITUTE(Z176," ","")," = Ref.",SUBSTITUTE(Z176," ",""),";//",$Y$176,". ",Y176),"")</f>
        <v/>
      </c>
      <c r="AJ176" s="12" t="str">
        <f t="shared" ref="AJ176:AJ194" si="86">IF(X176="Да",IF(T176="false",CONCATENATE($AI$1,SUBSTITUTE(Z176," ","")," = ",M176,";//",$Y$176,". ",Y176),CONCATENATE($AI$1,SUBSTITUTE(Z176," ","")," = ",U176,";//",$Y$176,". ",Y176)),"")</f>
        <v/>
      </c>
    </row>
    <row r="177" spans="1:36" x14ac:dyDescent="0.25">
      <c r="A177" s="17">
        <f>A176+1</f>
        <v>1</v>
      </c>
      <c r="B177" s="8" t="s">
        <v>26</v>
      </c>
      <c r="C177" s="4" t="s">
        <v>24</v>
      </c>
      <c r="D177" s="5" t="s">
        <v>0</v>
      </c>
      <c r="E177" s="5"/>
      <c r="F177" s="5" t="s">
        <v>1</v>
      </c>
      <c r="G177" s="5" t="s">
        <v>1</v>
      </c>
      <c r="H177" s="17" t="str">
        <f t="shared" si="80"/>
        <v>""</v>
      </c>
      <c r="I177" s="5" t="s">
        <v>46</v>
      </c>
      <c r="J177" s="5" t="s">
        <v>46</v>
      </c>
      <c r="K177" s="5" t="s">
        <v>46</v>
      </c>
      <c r="L177" s="5" t="s">
        <v>46</v>
      </c>
      <c r="M177" s="5" t="s">
        <v>22</v>
      </c>
      <c r="N177" s="8">
        <f t="shared" si="81"/>
        <v>0</v>
      </c>
      <c r="O177" s="5">
        <v>0</v>
      </c>
      <c r="P177" s="5">
        <v>0</v>
      </c>
      <c r="Q177" s="5" t="s">
        <v>23</v>
      </c>
      <c r="R177" s="5" t="s">
        <v>23</v>
      </c>
      <c r="S177" s="5" t="s">
        <v>23</v>
      </c>
      <c r="T177" s="5" t="s">
        <v>46</v>
      </c>
      <c r="U177" s="5" t="s">
        <v>46</v>
      </c>
      <c r="V177" s="5" t="s">
        <v>46</v>
      </c>
      <c r="W177" s="5">
        <v>0</v>
      </c>
      <c r="X177" s="10" t="s">
        <v>77</v>
      </c>
      <c r="Y177" s="10"/>
      <c r="Z177" s="10"/>
      <c r="AB177" s="2" t="str">
        <f>CONCATENATE(B177,C177,D177,",""",E177,""",",F177,",",G177,",",H177,",",I177,",",J177,",",K177,",",L177,",",M177,",",N177,",",O177,",",P177,",",Q177,",",R177,",",S177,",",T177,",",U177,",",V177,",",W177,"},//",Y$176,". ",Y177)</f>
        <v xml:space="preserve">/*1*/{" ","","","","",false,false,false,false,10.0,0,0,0,0.0,0.0,0.0,false,false,false,0},//. </v>
      </c>
      <c r="AD177" s="12" t="str">
        <f t="shared" si="82"/>
        <v/>
      </c>
      <c r="AE177" s="12" t="str">
        <f t="shared" si="83"/>
        <v/>
      </c>
      <c r="AH177" s="12" t="str">
        <f t="shared" si="84"/>
        <v/>
      </c>
      <c r="AI177" s="12" t="str">
        <f t="shared" si="85"/>
        <v/>
      </c>
      <c r="AJ177" s="12" t="str">
        <f t="shared" si="86"/>
        <v/>
      </c>
    </row>
    <row r="178" spans="1:36" x14ac:dyDescent="0.25">
      <c r="A178" s="17">
        <f t="shared" ref="A178:A195" si="87">A177+1</f>
        <v>2</v>
      </c>
      <c r="B178" s="8" t="s">
        <v>28</v>
      </c>
      <c r="C178" s="4" t="s">
        <v>24</v>
      </c>
      <c r="D178" s="5" t="s">
        <v>0</v>
      </c>
      <c r="E178" s="5"/>
      <c r="F178" s="5" t="s">
        <v>1</v>
      </c>
      <c r="G178" s="5" t="s">
        <v>1</v>
      </c>
      <c r="H178" s="17" t="str">
        <f t="shared" si="80"/>
        <v>""</v>
      </c>
      <c r="I178" s="5" t="s">
        <v>46</v>
      </c>
      <c r="J178" s="5" t="s">
        <v>46</v>
      </c>
      <c r="K178" s="5" t="s">
        <v>46</v>
      </c>
      <c r="L178" s="5" t="s">
        <v>46</v>
      </c>
      <c r="M178" s="5" t="s">
        <v>22</v>
      </c>
      <c r="N178" s="8">
        <f t="shared" si="81"/>
        <v>0</v>
      </c>
      <c r="O178" s="5">
        <v>0</v>
      </c>
      <c r="P178" s="5">
        <v>0</v>
      </c>
      <c r="Q178" s="5" t="s">
        <v>23</v>
      </c>
      <c r="R178" s="5" t="s">
        <v>23</v>
      </c>
      <c r="S178" s="5" t="s">
        <v>23</v>
      </c>
      <c r="T178" s="5" t="s">
        <v>46</v>
      </c>
      <c r="U178" s="5" t="s">
        <v>46</v>
      </c>
      <c r="V178" s="5" t="s">
        <v>46</v>
      </c>
      <c r="W178" s="5">
        <v>0</v>
      </c>
      <c r="X178" s="10" t="s">
        <v>77</v>
      </c>
      <c r="Y178" s="10"/>
      <c r="Z178" s="10"/>
      <c r="AB178" s="2" t="str">
        <f t="shared" ref="AB178:AB195" si="88">CONCATENATE(B178,C178,D178,",""",E178,""",",F178,",",G178,",",H178,",",I178,",",J178,",",K178,",",L178,",",M178,",",N178,",",O178,",",P178,",",Q178,",",R178,",",S178,",",T178,",",U178,",",V178,",",W178,"},//",Y$176,". ",Y178)</f>
        <v xml:space="preserve">/*2*/{" ","","","","",false,false,false,false,10.0,0,0,0,0.0,0.0,0.0,false,false,false,0},//. </v>
      </c>
      <c r="AD178" s="12" t="str">
        <f t="shared" si="82"/>
        <v/>
      </c>
      <c r="AE178" s="12" t="str">
        <f t="shared" si="83"/>
        <v/>
      </c>
      <c r="AH178" s="12" t="str">
        <f t="shared" si="84"/>
        <v/>
      </c>
      <c r="AI178" s="12" t="str">
        <f t="shared" si="85"/>
        <v/>
      </c>
      <c r="AJ178" s="12" t="str">
        <f t="shared" si="86"/>
        <v/>
      </c>
    </row>
    <row r="179" spans="1:36" x14ac:dyDescent="0.25">
      <c r="A179" s="17">
        <f t="shared" si="87"/>
        <v>3</v>
      </c>
      <c r="B179" s="8" t="s">
        <v>29</v>
      </c>
      <c r="C179" s="4" t="s">
        <v>24</v>
      </c>
      <c r="D179" s="5" t="s">
        <v>0</v>
      </c>
      <c r="E179" s="5"/>
      <c r="F179" s="5" t="s">
        <v>1</v>
      </c>
      <c r="G179" s="5" t="s">
        <v>1</v>
      </c>
      <c r="H179" s="17" t="str">
        <f t="shared" si="80"/>
        <v>""</v>
      </c>
      <c r="I179" s="5" t="s">
        <v>46</v>
      </c>
      <c r="J179" s="5" t="s">
        <v>46</v>
      </c>
      <c r="K179" s="5" t="s">
        <v>46</v>
      </c>
      <c r="L179" s="5" t="s">
        <v>46</v>
      </c>
      <c r="M179" s="5" t="s">
        <v>22</v>
      </c>
      <c r="N179" s="8">
        <f t="shared" si="81"/>
        <v>0</v>
      </c>
      <c r="O179" s="5">
        <v>0</v>
      </c>
      <c r="P179" s="5">
        <v>0</v>
      </c>
      <c r="Q179" s="5" t="s">
        <v>23</v>
      </c>
      <c r="R179" s="5" t="s">
        <v>23</v>
      </c>
      <c r="S179" s="5" t="s">
        <v>23</v>
      </c>
      <c r="T179" s="5" t="s">
        <v>46</v>
      </c>
      <c r="U179" s="5" t="s">
        <v>46</v>
      </c>
      <c r="V179" s="5" t="s">
        <v>46</v>
      </c>
      <c r="W179" s="5">
        <v>0</v>
      </c>
      <c r="X179" s="10" t="s">
        <v>77</v>
      </c>
      <c r="Y179" s="10"/>
      <c r="Z179" s="10"/>
      <c r="AB179" s="2" t="str">
        <f t="shared" si="88"/>
        <v xml:space="preserve">/*3*/{" ","","","","",false,false,false,false,10.0,0,0,0,0.0,0.0,0.0,false,false,false,0},//. </v>
      </c>
      <c r="AD179" s="12" t="str">
        <f t="shared" si="82"/>
        <v/>
      </c>
      <c r="AE179" s="12" t="str">
        <f t="shared" si="83"/>
        <v/>
      </c>
      <c r="AH179" s="12" t="str">
        <f t="shared" si="84"/>
        <v/>
      </c>
      <c r="AI179" s="12" t="str">
        <f t="shared" si="85"/>
        <v/>
      </c>
      <c r="AJ179" s="12" t="str">
        <f t="shared" si="86"/>
        <v/>
      </c>
    </row>
    <row r="180" spans="1:36" x14ac:dyDescent="0.25">
      <c r="A180" s="17">
        <f t="shared" si="87"/>
        <v>4</v>
      </c>
      <c r="B180" s="8" t="s">
        <v>30</v>
      </c>
      <c r="C180" s="4" t="s">
        <v>24</v>
      </c>
      <c r="D180" s="5" t="s">
        <v>0</v>
      </c>
      <c r="E180" s="5"/>
      <c r="F180" s="5" t="s">
        <v>1</v>
      </c>
      <c r="G180" s="5" t="s">
        <v>1</v>
      </c>
      <c r="H180" s="17" t="str">
        <f t="shared" si="80"/>
        <v>""</v>
      </c>
      <c r="I180" s="5" t="s">
        <v>46</v>
      </c>
      <c r="J180" s="5" t="s">
        <v>46</v>
      </c>
      <c r="K180" s="5" t="s">
        <v>46</v>
      </c>
      <c r="L180" s="5" t="s">
        <v>46</v>
      </c>
      <c r="M180" s="5" t="s">
        <v>22</v>
      </c>
      <c r="N180" s="8">
        <f t="shared" si="81"/>
        <v>0</v>
      </c>
      <c r="O180" s="5">
        <v>0</v>
      </c>
      <c r="P180" s="5">
        <v>0</v>
      </c>
      <c r="Q180" s="5" t="s">
        <v>23</v>
      </c>
      <c r="R180" s="5" t="s">
        <v>23</v>
      </c>
      <c r="S180" s="5" t="s">
        <v>23</v>
      </c>
      <c r="T180" s="5" t="s">
        <v>46</v>
      </c>
      <c r="U180" s="5" t="s">
        <v>46</v>
      </c>
      <c r="V180" s="5" t="s">
        <v>46</v>
      </c>
      <c r="W180" s="5">
        <v>0</v>
      </c>
      <c r="X180" s="10" t="s">
        <v>77</v>
      </c>
      <c r="Y180" s="10"/>
      <c r="Z180" s="10"/>
      <c r="AB180" s="2" t="str">
        <f t="shared" si="88"/>
        <v xml:space="preserve">/*4*/{" ","","","","",false,false,false,false,10.0,0,0,0,0.0,0.0,0.0,false,false,false,0},//. </v>
      </c>
      <c r="AD180" s="12" t="str">
        <f t="shared" si="82"/>
        <v/>
      </c>
      <c r="AE180" s="12" t="str">
        <f t="shared" si="83"/>
        <v/>
      </c>
      <c r="AH180" s="12" t="str">
        <f t="shared" si="84"/>
        <v/>
      </c>
      <c r="AI180" s="12" t="str">
        <f t="shared" si="85"/>
        <v/>
      </c>
      <c r="AJ180" s="12" t="str">
        <f t="shared" si="86"/>
        <v/>
      </c>
    </row>
    <row r="181" spans="1:36" x14ac:dyDescent="0.25">
      <c r="A181" s="17">
        <f t="shared" si="87"/>
        <v>5</v>
      </c>
      <c r="B181" s="8" t="s">
        <v>31</v>
      </c>
      <c r="C181" s="4" t="s">
        <v>24</v>
      </c>
      <c r="D181" s="5" t="s">
        <v>0</v>
      </c>
      <c r="E181" s="5"/>
      <c r="F181" s="5" t="s">
        <v>1</v>
      </c>
      <c r="G181" s="5" t="s">
        <v>1</v>
      </c>
      <c r="H181" s="17" t="str">
        <f t="shared" si="80"/>
        <v>""</v>
      </c>
      <c r="I181" s="5" t="s">
        <v>46</v>
      </c>
      <c r="J181" s="5" t="s">
        <v>46</v>
      </c>
      <c r="K181" s="5" t="s">
        <v>46</v>
      </c>
      <c r="L181" s="5" t="s">
        <v>46</v>
      </c>
      <c r="M181" s="5" t="s">
        <v>22</v>
      </c>
      <c r="N181" s="8">
        <f t="shared" si="81"/>
        <v>0</v>
      </c>
      <c r="O181" s="5">
        <v>0</v>
      </c>
      <c r="P181" s="5">
        <v>0</v>
      </c>
      <c r="Q181" s="5" t="s">
        <v>23</v>
      </c>
      <c r="R181" s="5" t="s">
        <v>23</v>
      </c>
      <c r="S181" s="5" t="s">
        <v>23</v>
      </c>
      <c r="T181" s="5" t="s">
        <v>46</v>
      </c>
      <c r="U181" s="5" t="s">
        <v>46</v>
      </c>
      <c r="V181" s="5" t="s">
        <v>46</v>
      </c>
      <c r="W181" s="5">
        <v>0</v>
      </c>
      <c r="X181" s="10" t="s">
        <v>77</v>
      </c>
      <c r="Y181" s="10"/>
      <c r="Z181" s="10"/>
      <c r="AB181" s="2" t="str">
        <f t="shared" si="88"/>
        <v xml:space="preserve">/*5*/{" ","","","","",false,false,false,false,10.0,0,0,0,0.0,0.0,0.0,false,false,false,0},//. </v>
      </c>
      <c r="AD181" s="12" t="str">
        <f t="shared" si="82"/>
        <v/>
      </c>
      <c r="AE181" s="12" t="str">
        <f t="shared" si="83"/>
        <v/>
      </c>
      <c r="AH181" s="12" t="str">
        <f t="shared" si="84"/>
        <v/>
      </c>
      <c r="AI181" s="12" t="str">
        <f t="shared" si="85"/>
        <v/>
      </c>
      <c r="AJ181" s="12" t="str">
        <f t="shared" si="86"/>
        <v/>
      </c>
    </row>
    <row r="182" spans="1:36" x14ac:dyDescent="0.25">
      <c r="A182" s="17">
        <f t="shared" si="87"/>
        <v>6</v>
      </c>
      <c r="B182" s="8" t="s">
        <v>32</v>
      </c>
      <c r="C182" s="4" t="s">
        <v>24</v>
      </c>
      <c r="D182" s="5" t="s">
        <v>0</v>
      </c>
      <c r="E182" s="5"/>
      <c r="F182" s="5" t="s">
        <v>1</v>
      </c>
      <c r="G182" s="5" t="s">
        <v>1</v>
      </c>
      <c r="H182" s="17" t="str">
        <f t="shared" ref="H182:H195" si="89">IF(AND(I182="true",J182="false"),""" ""","""""")</f>
        <v>""</v>
      </c>
      <c r="I182" s="5" t="s">
        <v>46</v>
      </c>
      <c r="J182" s="5" t="s">
        <v>46</v>
      </c>
      <c r="K182" s="5" t="s">
        <v>46</v>
      </c>
      <c r="L182" s="5" t="s">
        <v>46</v>
      </c>
      <c r="M182" s="5" t="s">
        <v>22</v>
      </c>
      <c r="N182" s="8">
        <f t="shared" ref="N182:N195" si="90">N181</f>
        <v>0</v>
      </c>
      <c r="O182" s="5">
        <v>0</v>
      </c>
      <c r="P182" s="5">
        <v>0</v>
      </c>
      <c r="Q182" s="5" t="s">
        <v>23</v>
      </c>
      <c r="R182" s="5" t="s">
        <v>23</v>
      </c>
      <c r="S182" s="5" t="s">
        <v>23</v>
      </c>
      <c r="T182" s="5" t="s">
        <v>46</v>
      </c>
      <c r="U182" s="5" t="s">
        <v>46</v>
      </c>
      <c r="V182" s="5" t="s">
        <v>46</v>
      </c>
      <c r="W182" s="5">
        <v>0</v>
      </c>
      <c r="X182" s="10" t="s">
        <v>77</v>
      </c>
      <c r="Y182" s="10"/>
      <c r="Z182" s="10"/>
      <c r="AB182" s="2" t="str">
        <f t="shared" si="88"/>
        <v xml:space="preserve">/*6*/{" ","","","","",false,false,false,false,10.0,0,0,0,0.0,0.0,0.0,false,false,false,0},//. </v>
      </c>
      <c r="AD182" s="12" t="str">
        <f t="shared" si="82"/>
        <v/>
      </c>
      <c r="AE182" s="12" t="str">
        <f t="shared" si="83"/>
        <v/>
      </c>
      <c r="AH182" s="12" t="str">
        <f t="shared" si="84"/>
        <v/>
      </c>
      <c r="AI182" s="12" t="str">
        <f t="shared" si="85"/>
        <v/>
      </c>
      <c r="AJ182" s="12" t="str">
        <f t="shared" si="86"/>
        <v/>
      </c>
    </row>
    <row r="183" spans="1:36" x14ac:dyDescent="0.25">
      <c r="A183" s="17">
        <f t="shared" si="87"/>
        <v>7</v>
      </c>
      <c r="B183" s="8" t="s">
        <v>33</v>
      </c>
      <c r="C183" s="4" t="s">
        <v>24</v>
      </c>
      <c r="D183" s="5" t="s">
        <v>0</v>
      </c>
      <c r="E183" s="5"/>
      <c r="F183" s="5" t="s">
        <v>1</v>
      </c>
      <c r="G183" s="5" t="s">
        <v>1</v>
      </c>
      <c r="H183" s="17" t="str">
        <f t="shared" si="89"/>
        <v>""</v>
      </c>
      <c r="I183" s="5" t="s">
        <v>46</v>
      </c>
      <c r="J183" s="5" t="s">
        <v>46</v>
      </c>
      <c r="K183" s="5" t="s">
        <v>46</v>
      </c>
      <c r="L183" s="5" t="s">
        <v>46</v>
      </c>
      <c r="M183" s="5" t="s">
        <v>22</v>
      </c>
      <c r="N183" s="8">
        <f t="shared" si="90"/>
        <v>0</v>
      </c>
      <c r="O183" s="5">
        <v>0</v>
      </c>
      <c r="P183" s="5">
        <v>0</v>
      </c>
      <c r="Q183" s="5" t="s">
        <v>23</v>
      </c>
      <c r="R183" s="5" t="s">
        <v>23</v>
      </c>
      <c r="S183" s="5" t="s">
        <v>23</v>
      </c>
      <c r="T183" s="5" t="s">
        <v>46</v>
      </c>
      <c r="U183" s="5" t="s">
        <v>46</v>
      </c>
      <c r="V183" s="5" t="s">
        <v>46</v>
      </c>
      <c r="W183" s="5">
        <v>0</v>
      </c>
      <c r="X183" s="10" t="s">
        <v>77</v>
      </c>
      <c r="Y183" s="10"/>
      <c r="Z183" s="10"/>
      <c r="AB183" s="2" t="str">
        <f t="shared" si="88"/>
        <v xml:space="preserve">/*7*/{" ","","","","",false,false,false,false,10.0,0,0,0,0.0,0.0,0.0,false,false,false,0},//. </v>
      </c>
      <c r="AD183" s="12" t="str">
        <f t="shared" si="82"/>
        <v/>
      </c>
      <c r="AE183" s="12" t="str">
        <f t="shared" si="83"/>
        <v/>
      </c>
      <c r="AH183" s="12" t="str">
        <f t="shared" si="84"/>
        <v/>
      </c>
      <c r="AI183" s="12" t="str">
        <f t="shared" si="85"/>
        <v/>
      </c>
      <c r="AJ183" s="12" t="str">
        <f t="shared" si="86"/>
        <v/>
      </c>
    </row>
    <row r="184" spans="1:36" x14ac:dyDescent="0.25">
      <c r="A184" s="17">
        <f t="shared" si="87"/>
        <v>8</v>
      </c>
      <c r="B184" s="8" t="s">
        <v>34</v>
      </c>
      <c r="C184" s="4" t="s">
        <v>24</v>
      </c>
      <c r="D184" s="5" t="s">
        <v>0</v>
      </c>
      <c r="E184" s="5"/>
      <c r="F184" s="5" t="s">
        <v>1</v>
      </c>
      <c r="G184" s="5" t="s">
        <v>1</v>
      </c>
      <c r="H184" s="17" t="str">
        <f t="shared" si="89"/>
        <v>""</v>
      </c>
      <c r="I184" s="5" t="s">
        <v>46</v>
      </c>
      <c r="J184" s="5" t="s">
        <v>46</v>
      </c>
      <c r="K184" s="5" t="s">
        <v>46</v>
      </c>
      <c r="L184" s="5" t="s">
        <v>46</v>
      </c>
      <c r="M184" s="5" t="s">
        <v>22</v>
      </c>
      <c r="N184" s="8">
        <f t="shared" si="90"/>
        <v>0</v>
      </c>
      <c r="O184" s="5">
        <v>0</v>
      </c>
      <c r="P184" s="5">
        <v>0</v>
      </c>
      <c r="Q184" s="5" t="s">
        <v>23</v>
      </c>
      <c r="R184" s="5" t="s">
        <v>23</v>
      </c>
      <c r="S184" s="5" t="s">
        <v>23</v>
      </c>
      <c r="T184" s="5" t="s">
        <v>46</v>
      </c>
      <c r="U184" s="5" t="s">
        <v>46</v>
      </c>
      <c r="V184" s="5" t="s">
        <v>46</v>
      </c>
      <c r="W184" s="5">
        <v>0</v>
      </c>
      <c r="X184" s="10" t="s">
        <v>77</v>
      </c>
      <c r="Y184" s="10"/>
      <c r="Z184" s="10"/>
      <c r="AB184" s="2" t="str">
        <f t="shared" si="88"/>
        <v xml:space="preserve">/*8*/{" ","","","","",false,false,false,false,10.0,0,0,0,0.0,0.0,0.0,false,false,false,0},//. </v>
      </c>
      <c r="AD184" s="12" t="str">
        <f t="shared" si="82"/>
        <v/>
      </c>
      <c r="AE184" s="12" t="str">
        <f t="shared" si="83"/>
        <v/>
      </c>
      <c r="AH184" s="12" t="str">
        <f t="shared" si="84"/>
        <v/>
      </c>
      <c r="AI184" s="12" t="str">
        <f t="shared" si="85"/>
        <v/>
      </c>
      <c r="AJ184" s="12" t="str">
        <f t="shared" si="86"/>
        <v/>
      </c>
    </row>
    <row r="185" spans="1:36" x14ac:dyDescent="0.25">
      <c r="A185" s="17">
        <f t="shared" si="87"/>
        <v>9</v>
      </c>
      <c r="B185" s="8" t="s">
        <v>35</v>
      </c>
      <c r="C185" s="4" t="s">
        <v>24</v>
      </c>
      <c r="D185" s="5" t="s">
        <v>0</v>
      </c>
      <c r="E185" s="5"/>
      <c r="F185" s="5" t="s">
        <v>1</v>
      </c>
      <c r="G185" s="5" t="s">
        <v>1</v>
      </c>
      <c r="H185" s="17" t="str">
        <f t="shared" si="89"/>
        <v>""</v>
      </c>
      <c r="I185" s="5" t="s">
        <v>46</v>
      </c>
      <c r="J185" s="5" t="s">
        <v>46</v>
      </c>
      <c r="K185" s="5" t="s">
        <v>46</v>
      </c>
      <c r="L185" s="5" t="s">
        <v>46</v>
      </c>
      <c r="M185" s="5" t="s">
        <v>22</v>
      </c>
      <c r="N185" s="8">
        <f t="shared" si="90"/>
        <v>0</v>
      </c>
      <c r="O185" s="5">
        <v>0</v>
      </c>
      <c r="P185" s="5">
        <v>0</v>
      </c>
      <c r="Q185" s="5" t="s">
        <v>23</v>
      </c>
      <c r="R185" s="5" t="s">
        <v>23</v>
      </c>
      <c r="S185" s="5" t="s">
        <v>23</v>
      </c>
      <c r="T185" s="5" t="s">
        <v>46</v>
      </c>
      <c r="U185" s="5" t="s">
        <v>46</v>
      </c>
      <c r="V185" s="5" t="s">
        <v>46</v>
      </c>
      <c r="W185" s="5">
        <v>0</v>
      </c>
      <c r="X185" s="10" t="s">
        <v>77</v>
      </c>
      <c r="Y185" s="10"/>
      <c r="Z185" s="10"/>
      <c r="AB185" s="2" t="str">
        <f t="shared" si="88"/>
        <v xml:space="preserve">/*9*/{" ","","","","",false,false,false,false,10.0,0,0,0,0.0,0.0,0.0,false,false,false,0},//. </v>
      </c>
      <c r="AD185" s="12" t="str">
        <f t="shared" si="82"/>
        <v/>
      </c>
      <c r="AE185" s="12" t="str">
        <f t="shared" si="83"/>
        <v/>
      </c>
      <c r="AH185" s="12" t="str">
        <f t="shared" si="84"/>
        <v/>
      </c>
      <c r="AI185" s="12" t="str">
        <f t="shared" si="85"/>
        <v/>
      </c>
      <c r="AJ185" s="12" t="str">
        <f t="shared" si="86"/>
        <v/>
      </c>
    </row>
    <row r="186" spans="1:36" x14ac:dyDescent="0.25">
      <c r="A186" s="17">
        <f t="shared" si="87"/>
        <v>10</v>
      </c>
      <c r="B186" s="8" t="s">
        <v>36</v>
      </c>
      <c r="C186" s="4" t="s">
        <v>24</v>
      </c>
      <c r="D186" s="5" t="s">
        <v>0</v>
      </c>
      <c r="E186" s="5"/>
      <c r="F186" s="5" t="s">
        <v>1</v>
      </c>
      <c r="G186" s="5" t="s">
        <v>1</v>
      </c>
      <c r="H186" s="17" t="str">
        <f t="shared" si="89"/>
        <v>""</v>
      </c>
      <c r="I186" s="5" t="s">
        <v>46</v>
      </c>
      <c r="J186" s="5" t="s">
        <v>46</v>
      </c>
      <c r="K186" s="5" t="s">
        <v>46</v>
      </c>
      <c r="L186" s="5" t="s">
        <v>46</v>
      </c>
      <c r="M186" s="5" t="s">
        <v>22</v>
      </c>
      <c r="N186" s="8">
        <f t="shared" si="90"/>
        <v>0</v>
      </c>
      <c r="O186" s="5">
        <v>0</v>
      </c>
      <c r="P186" s="5">
        <v>0</v>
      </c>
      <c r="Q186" s="5" t="s">
        <v>23</v>
      </c>
      <c r="R186" s="5" t="s">
        <v>23</v>
      </c>
      <c r="S186" s="5" t="s">
        <v>23</v>
      </c>
      <c r="T186" s="5" t="s">
        <v>46</v>
      </c>
      <c r="U186" s="5" t="s">
        <v>46</v>
      </c>
      <c r="V186" s="5" t="s">
        <v>46</v>
      </c>
      <c r="W186" s="5">
        <v>0</v>
      </c>
      <c r="X186" s="10" t="s">
        <v>77</v>
      </c>
      <c r="Y186" s="10"/>
      <c r="Z186" s="10"/>
      <c r="AB186" s="2" t="str">
        <f t="shared" si="88"/>
        <v xml:space="preserve">/*10*/{" ","","","","",false,false,false,false,10.0,0,0,0,0.0,0.0,0.0,false,false,false,0},//. </v>
      </c>
      <c r="AD186" s="12" t="str">
        <f t="shared" si="82"/>
        <v/>
      </c>
      <c r="AE186" s="12" t="str">
        <f t="shared" si="83"/>
        <v/>
      </c>
      <c r="AH186" s="12" t="str">
        <f t="shared" si="84"/>
        <v/>
      </c>
      <c r="AI186" s="12" t="str">
        <f t="shared" si="85"/>
        <v/>
      </c>
      <c r="AJ186" s="12" t="str">
        <f t="shared" si="86"/>
        <v/>
      </c>
    </row>
    <row r="187" spans="1:36" x14ac:dyDescent="0.25">
      <c r="A187" s="17">
        <f t="shared" si="87"/>
        <v>11</v>
      </c>
      <c r="B187" s="8" t="s">
        <v>37</v>
      </c>
      <c r="C187" s="4" t="s">
        <v>24</v>
      </c>
      <c r="D187" s="5" t="s">
        <v>0</v>
      </c>
      <c r="E187" s="5"/>
      <c r="F187" s="5" t="s">
        <v>1</v>
      </c>
      <c r="G187" s="5" t="s">
        <v>1</v>
      </c>
      <c r="H187" s="17" t="str">
        <f t="shared" si="89"/>
        <v>""</v>
      </c>
      <c r="I187" s="5" t="s">
        <v>46</v>
      </c>
      <c r="J187" s="5" t="s">
        <v>46</v>
      </c>
      <c r="K187" s="5" t="s">
        <v>46</v>
      </c>
      <c r="L187" s="5" t="s">
        <v>46</v>
      </c>
      <c r="M187" s="5" t="s">
        <v>22</v>
      </c>
      <c r="N187" s="8">
        <f t="shared" si="90"/>
        <v>0</v>
      </c>
      <c r="O187" s="5">
        <v>0</v>
      </c>
      <c r="P187" s="5">
        <v>0</v>
      </c>
      <c r="Q187" s="5" t="s">
        <v>23</v>
      </c>
      <c r="R187" s="5" t="s">
        <v>23</v>
      </c>
      <c r="S187" s="5" t="s">
        <v>23</v>
      </c>
      <c r="T187" s="5" t="s">
        <v>46</v>
      </c>
      <c r="U187" s="5" t="s">
        <v>46</v>
      </c>
      <c r="V187" s="5" t="s">
        <v>46</v>
      </c>
      <c r="W187" s="5">
        <v>0</v>
      </c>
      <c r="X187" s="10" t="s">
        <v>77</v>
      </c>
      <c r="Y187" s="10"/>
      <c r="Z187" s="10"/>
      <c r="AB187" s="2" t="str">
        <f t="shared" si="88"/>
        <v xml:space="preserve">/*11*/{" ","","","","",false,false,false,false,10.0,0,0,0,0.0,0.0,0.0,false,false,false,0},//. </v>
      </c>
      <c r="AD187" s="12" t="str">
        <f t="shared" si="82"/>
        <v/>
      </c>
      <c r="AE187" s="12" t="str">
        <f t="shared" si="83"/>
        <v/>
      </c>
      <c r="AH187" s="12" t="str">
        <f t="shared" si="84"/>
        <v/>
      </c>
      <c r="AI187" s="12" t="str">
        <f t="shared" si="85"/>
        <v/>
      </c>
      <c r="AJ187" s="12" t="str">
        <f t="shared" si="86"/>
        <v/>
      </c>
    </row>
    <row r="188" spans="1:36" x14ac:dyDescent="0.25">
      <c r="A188" s="17">
        <f t="shared" si="87"/>
        <v>12</v>
      </c>
      <c r="B188" s="8" t="s">
        <v>38</v>
      </c>
      <c r="C188" s="4" t="s">
        <v>24</v>
      </c>
      <c r="D188" s="5" t="s">
        <v>0</v>
      </c>
      <c r="E188" s="5"/>
      <c r="F188" s="5" t="s">
        <v>1</v>
      </c>
      <c r="G188" s="5" t="s">
        <v>1</v>
      </c>
      <c r="H188" s="17" t="str">
        <f t="shared" si="89"/>
        <v>""</v>
      </c>
      <c r="I188" s="5" t="s">
        <v>46</v>
      </c>
      <c r="J188" s="5" t="s">
        <v>46</v>
      </c>
      <c r="K188" s="5" t="s">
        <v>46</v>
      </c>
      <c r="L188" s="5" t="s">
        <v>46</v>
      </c>
      <c r="M188" s="5" t="s">
        <v>22</v>
      </c>
      <c r="N188" s="8">
        <f t="shared" si="90"/>
        <v>0</v>
      </c>
      <c r="O188" s="5">
        <v>0</v>
      </c>
      <c r="P188" s="5">
        <v>0</v>
      </c>
      <c r="Q188" s="5" t="s">
        <v>23</v>
      </c>
      <c r="R188" s="5" t="s">
        <v>23</v>
      </c>
      <c r="S188" s="5" t="s">
        <v>23</v>
      </c>
      <c r="T188" s="5" t="s">
        <v>46</v>
      </c>
      <c r="U188" s="5" t="s">
        <v>46</v>
      </c>
      <c r="V188" s="5" t="s">
        <v>46</v>
      </c>
      <c r="W188" s="5">
        <v>0</v>
      </c>
      <c r="X188" s="10" t="s">
        <v>77</v>
      </c>
      <c r="Y188" s="10"/>
      <c r="Z188" s="10"/>
      <c r="AB188" s="2" t="str">
        <f t="shared" si="88"/>
        <v xml:space="preserve">/*12*/{" ","","","","",false,false,false,false,10.0,0,0,0,0.0,0.0,0.0,false,false,false,0},//. </v>
      </c>
      <c r="AD188" s="12" t="str">
        <f t="shared" si="82"/>
        <v/>
      </c>
      <c r="AE188" s="12" t="str">
        <f t="shared" si="83"/>
        <v/>
      </c>
      <c r="AH188" s="12" t="str">
        <f t="shared" si="84"/>
        <v/>
      </c>
      <c r="AI188" s="12" t="str">
        <f t="shared" si="85"/>
        <v/>
      </c>
      <c r="AJ188" s="12" t="str">
        <f t="shared" si="86"/>
        <v/>
      </c>
    </row>
    <row r="189" spans="1:36" x14ac:dyDescent="0.25">
      <c r="A189" s="17">
        <f t="shared" si="87"/>
        <v>13</v>
      </c>
      <c r="B189" s="8" t="s">
        <v>39</v>
      </c>
      <c r="C189" s="4" t="s">
        <v>24</v>
      </c>
      <c r="D189" s="5" t="s">
        <v>0</v>
      </c>
      <c r="E189" s="5"/>
      <c r="F189" s="5" t="s">
        <v>1</v>
      </c>
      <c r="G189" s="5" t="s">
        <v>1</v>
      </c>
      <c r="H189" s="17" t="str">
        <f t="shared" si="89"/>
        <v>""</v>
      </c>
      <c r="I189" s="5" t="s">
        <v>46</v>
      </c>
      <c r="J189" s="5" t="s">
        <v>46</v>
      </c>
      <c r="K189" s="5" t="s">
        <v>46</v>
      </c>
      <c r="L189" s="5" t="s">
        <v>46</v>
      </c>
      <c r="M189" s="5" t="s">
        <v>22</v>
      </c>
      <c r="N189" s="8">
        <f t="shared" si="90"/>
        <v>0</v>
      </c>
      <c r="O189" s="5">
        <v>0</v>
      </c>
      <c r="P189" s="5">
        <v>0</v>
      </c>
      <c r="Q189" s="5" t="s">
        <v>23</v>
      </c>
      <c r="R189" s="5" t="s">
        <v>23</v>
      </c>
      <c r="S189" s="5" t="s">
        <v>23</v>
      </c>
      <c r="T189" s="5" t="s">
        <v>46</v>
      </c>
      <c r="U189" s="5" t="s">
        <v>46</v>
      </c>
      <c r="V189" s="5" t="s">
        <v>46</v>
      </c>
      <c r="W189" s="5">
        <v>0</v>
      </c>
      <c r="X189" s="10" t="s">
        <v>77</v>
      </c>
      <c r="Y189" s="10"/>
      <c r="Z189" s="10"/>
      <c r="AB189" s="2" t="str">
        <f t="shared" si="88"/>
        <v xml:space="preserve">/*13*/{" ","","","","",false,false,false,false,10.0,0,0,0,0.0,0.0,0.0,false,false,false,0},//. </v>
      </c>
      <c r="AD189" s="12" t="str">
        <f t="shared" si="82"/>
        <v/>
      </c>
      <c r="AE189" s="12" t="str">
        <f t="shared" si="83"/>
        <v/>
      </c>
      <c r="AH189" s="12" t="str">
        <f t="shared" si="84"/>
        <v/>
      </c>
      <c r="AI189" s="12" t="str">
        <f t="shared" si="85"/>
        <v/>
      </c>
      <c r="AJ189" s="12" t="str">
        <f t="shared" si="86"/>
        <v/>
      </c>
    </row>
    <row r="190" spans="1:36" x14ac:dyDescent="0.25">
      <c r="A190" s="17">
        <f t="shared" si="87"/>
        <v>14</v>
      </c>
      <c r="B190" s="8" t="s">
        <v>40</v>
      </c>
      <c r="C190" s="4" t="s">
        <v>24</v>
      </c>
      <c r="D190" s="5" t="s">
        <v>0</v>
      </c>
      <c r="E190" s="5"/>
      <c r="F190" s="5" t="s">
        <v>1</v>
      </c>
      <c r="G190" s="5" t="s">
        <v>1</v>
      </c>
      <c r="H190" s="17" t="str">
        <f t="shared" si="89"/>
        <v>""</v>
      </c>
      <c r="I190" s="5" t="s">
        <v>46</v>
      </c>
      <c r="J190" s="5" t="s">
        <v>46</v>
      </c>
      <c r="K190" s="5" t="s">
        <v>46</v>
      </c>
      <c r="L190" s="5" t="s">
        <v>46</v>
      </c>
      <c r="M190" s="5" t="s">
        <v>22</v>
      </c>
      <c r="N190" s="8">
        <f t="shared" si="90"/>
        <v>0</v>
      </c>
      <c r="O190" s="5">
        <v>0</v>
      </c>
      <c r="P190" s="5">
        <v>0</v>
      </c>
      <c r="Q190" s="5" t="s">
        <v>23</v>
      </c>
      <c r="R190" s="5" t="s">
        <v>23</v>
      </c>
      <c r="S190" s="5" t="s">
        <v>23</v>
      </c>
      <c r="T190" s="5" t="s">
        <v>46</v>
      </c>
      <c r="U190" s="5" t="s">
        <v>46</v>
      </c>
      <c r="V190" s="5" t="s">
        <v>46</v>
      </c>
      <c r="W190" s="5">
        <v>0</v>
      </c>
      <c r="X190" s="10" t="s">
        <v>77</v>
      </c>
      <c r="Y190" s="10"/>
      <c r="Z190" s="10"/>
      <c r="AB190" s="2" t="str">
        <f t="shared" si="88"/>
        <v xml:space="preserve">/*14*/{" ","","","","",false,false,false,false,10.0,0,0,0,0.0,0.0,0.0,false,false,false,0},//. </v>
      </c>
      <c r="AD190" s="12" t="str">
        <f t="shared" si="82"/>
        <v/>
      </c>
      <c r="AE190" s="12" t="str">
        <f t="shared" si="83"/>
        <v/>
      </c>
      <c r="AH190" s="12" t="str">
        <f t="shared" si="84"/>
        <v/>
      </c>
      <c r="AI190" s="12" t="str">
        <f t="shared" si="85"/>
        <v/>
      </c>
      <c r="AJ190" s="12" t="str">
        <f t="shared" si="86"/>
        <v/>
      </c>
    </row>
    <row r="191" spans="1:36" x14ac:dyDescent="0.25">
      <c r="A191" s="17">
        <f t="shared" si="87"/>
        <v>15</v>
      </c>
      <c r="B191" s="8" t="s">
        <v>41</v>
      </c>
      <c r="C191" s="4" t="s">
        <v>24</v>
      </c>
      <c r="D191" s="5" t="s">
        <v>0</v>
      </c>
      <c r="E191" s="5"/>
      <c r="F191" s="5" t="s">
        <v>1</v>
      </c>
      <c r="G191" s="5" t="s">
        <v>1</v>
      </c>
      <c r="H191" s="17" t="str">
        <f t="shared" si="89"/>
        <v>""</v>
      </c>
      <c r="I191" s="5" t="s">
        <v>46</v>
      </c>
      <c r="J191" s="5" t="s">
        <v>46</v>
      </c>
      <c r="K191" s="5" t="s">
        <v>46</v>
      </c>
      <c r="L191" s="5" t="s">
        <v>46</v>
      </c>
      <c r="M191" s="5" t="s">
        <v>22</v>
      </c>
      <c r="N191" s="8">
        <f t="shared" si="90"/>
        <v>0</v>
      </c>
      <c r="O191" s="5">
        <v>0</v>
      </c>
      <c r="P191" s="5">
        <v>0</v>
      </c>
      <c r="Q191" s="5" t="s">
        <v>23</v>
      </c>
      <c r="R191" s="5" t="s">
        <v>23</v>
      </c>
      <c r="S191" s="5" t="s">
        <v>23</v>
      </c>
      <c r="T191" s="5" t="s">
        <v>46</v>
      </c>
      <c r="U191" s="5" t="s">
        <v>46</v>
      </c>
      <c r="V191" s="5" t="s">
        <v>46</v>
      </c>
      <c r="W191" s="5">
        <v>0</v>
      </c>
      <c r="X191" s="10" t="s">
        <v>77</v>
      </c>
      <c r="Y191" s="10"/>
      <c r="Z191" s="10"/>
      <c r="AB191" s="2" t="str">
        <f t="shared" si="88"/>
        <v xml:space="preserve">/*15*/{" ","","","","",false,false,false,false,10.0,0,0,0,0.0,0.0,0.0,false,false,false,0},//. </v>
      </c>
      <c r="AD191" s="12" t="str">
        <f t="shared" si="82"/>
        <v/>
      </c>
      <c r="AE191" s="12" t="str">
        <f t="shared" si="83"/>
        <v/>
      </c>
      <c r="AH191" s="12" t="str">
        <f t="shared" si="84"/>
        <v/>
      </c>
      <c r="AI191" s="12" t="str">
        <f t="shared" si="85"/>
        <v/>
      </c>
      <c r="AJ191" s="12" t="str">
        <f t="shared" si="86"/>
        <v/>
      </c>
    </row>
    <row r="192" spans="1:36" x14ac:dyDescent="0.25">
      <c r="A192" s="17">
        <f t="shared" si="87"/>
        <v>16</v>
      </c>
      <c r="B192" s="8" t="s">
        <v>42</v>
      </c>
      <c r="C192" s="4" t="s">
        <v>24</v>
      </c>
      <c r="D192" s="5" t="s">
        <v>0</v>
      </c>
      <c r="E192" s="5"/>
      <c r="F192" s="5" t="s">
        <v>1</v>
      </c>
      <c r="G192" s="5" t="s">
        <v>1</v>
      </c>
      <c r="H192" s="17" t="str">
        <f t="shared" si="89"/>
        <v>""</v>
      </c>
      <c r="I192" s="5" t="s">
        <v>46</v>
      </c>
      <c r="J192" s="5" t="s">
        <v>46</v>
      </c>
      <c r="K192" s="5" t="s">
        <v>46</v>
      </c>
      <c r="L192" s="5" t="s">
        <v>46</v>
      </c>
      <c r="M192" s="5" t="s">
        <v>22</v>
      </c>
      <c r="N192" s="8">
        <f t="shared" si="90"/>
        <v>0</v>
      </c>
      <c r="O192" s="5">
        <v>0</v>
      </c>
      <c r="P192" s="5">
        <v>0</v>
      </c>
      <c r="Q192" s="5" t="s">
        <v>23</v>
      </c>
      <c r="R192" s="5" t="s">
        <v>23</v>
      </c>
      <c r="S192" s="5" t="s">
        <v>23</v>
      </c>
      <c r="T192" s="5" t="s">
        <v>46</v>
      </c>
      <c r="U192" s="5" t="s">
        <v>46</v>
      </c>
      <c r="V192" s="5" t="s">
        <v>46</v>
      </c>
      <c r="W192" s="5">
        <v>0</v>
      </c>
      <c r="X192" s="10" t="s">
        <v>77</v>
      </c>
      <c r="Y192" s="10"/>
      <c r="Z192" s="10"/>
      <c r="AB192" s="2" t="str">
        <f t="shared" si="88"/>
        <v xml:space="preserve">/*16*/{" ","","","","",false,false,false,false,10.0,0,0,0,0.0,0.0,0.0,false,false,false,0},//. </v>
      </c>
      <c r="AD192" s="12" t="str">
        <f t="shared" si="82"/>
        <v/>
      </c>
      <c r="AE192" s="12" t="str">
        <f t="shared" si="83"/>
        <v/>
      </c>
      <c r="AH192" s="12" t="str">
        <f t="shared" si="84"/>
        <v/>
      </c>
      <c r="AI192" s="12" t="str">
        <f t="shared" si="85"/>
        <v/>
      </c>
      <c r="AJ192" s="12" t="str">
        <f t="shared" si="86"/>
        <v/>
      </c>
    </row>
    <row r="193" spans="1:36" x14ac:dyDescent="0.25">
      <c r="A193" s="17">
        <f t="shared" si="87"/>
        <v>17</v>
      </c>
      <c r="B193" s="8" t="s">
        <v>43</v>
      </c>
      <c r="C193" s="4" t="s">
        <v>24</v>
      </c>
      <c r="D193" s="5" t="s">
        <v>0</v>
      </c>
      <c r="E193" s="5"/>
      <c r="F193" s="5" t="s">
        <v>1</v>
      </c>
      <c r="G193" s="5" t="s">
        <v>1</v>
      </c>
      <c r="H193" s="17" t="str">
        <f t="shared" si="89"/>
        <v>""</v>
      </c>
      <c r="I193" s="5" t="s">
        <v>46</v>
      </c>
      <c r="J193" s="5" t="s">
        <v>46</v>
      </c>
      <c r="K193" s="5" t="s">
        <v>46</v>
      </c>
      <c r="L193" s="5" t="s">
        <v>46</v>
      </c>
      <c r="M193" s="5" t="s">
        <v>22</v>
      </c>
      <c r="N193" s="8">
        <f t="shared" si="90"/>
        <v>0</v>
      </c>
      <c r="O193" s="5">
        <v>0</v>
      </c>
      <c r="P193" s="5">
        <v>0</v>
      </c>
      <c r="Q193" s="5" t="s">
        <v>23</v>
      </c>
      <c r="R193" s="5" t="s">
        <v>23</v>
      </c>
      <c r="S193" s="5" t="s">
        <v>23</v>
      </c>
      <c r="T193" s="5" t="s">
        <v>46</v>
      </c>
      <c r="U193" s="5" t="s">
        <v>46</v>
      </c>
      <c r="V193" s="5" t="s">
        <v>46</v>
      </c>
      <c r="W193" s="5">
        <v>0</v>
      </c>
      <c r="X193" s="10" t="s">
        <v>77</v>
      </c>
      <c r="Y193" s="10"/>
      <c r="Z193" s="10"/>
      <c r="AB193" s="2" t="str">
        <f t="shared" si="88"/>
        <v xml:space="preserve">/*17*/{" ","","","","",false,false,false,false,10.0,0,0,0,0.0,0.0,0.0,false,false,false,0},//. </v>
      </c>
      <c r="AD193" s="12" t="str">
        <f t="shared" si="82"/>
        <v/>
      </c>
      <c r="AE193" s="12" t="str">
        <f t="shared" si="83"/>
        <v/>
      </c>
      <c r="AH193" s="12" t="str">
        <f t="shared" si="84"/>
        <v/>
      </c>
      <c r="AI193" s="12" t="str">
        <f t="shared" si="85"/>
        <v/>
      </c>
      <c r="AJ193" s="12" t="str">
        <f t="shared" si="86"/>
        <v/>
      </c>
    </row>
    <row r="194" spans="1:36" x14ac:dyDescent="0.25">
      <c r="A194" s="17">
        <f t="shared" si="87"/>
        <v>18</v>
      </c>
      <c r="B194" s="8" t="s">
        <v>44</v>
      </c>
      <c r="C194" s="4" t="s">
        <v>24</v>
      </c>
      <c r="D194" s="5" t="s">
        <v>0</v>
      </c>
      <c r="E194" s="5"/>
      <c r="F194" s="5" t="s">
        <v>1</v>
      </c>
      <c r="G194" s="5" t="s">
        <v>1</v>
      </c>
      <c r="H194" s="17" t="str">
        <f t="shared" si="89"/>
        <v>""</v>
      </c>
      <c r="I194" s="5" t="s">
        <v>46</v>
      </c>
      <c r="J194" s="5" t="s">
        <v>46</v>
      </c>
      <c r="K194" s="5" t="s">
        <v>46</v>
      </c>
      <c r="L194" s="5" t="s">
        <v>46</v>
      </c>
      <c r="M194" s="5" t="s">
        <v>22</v>
      </c>
      <c r="N194" s="8">
        <f t="shared" si="90"/>
        <v>0</v>
      </c>
      <c r="O194" s="5">
        <v>0</v>
      </c>
      <c r="P194" s="5">
        <v>0</v>
      </c>
      <c r="Q194" s="5" t="s">
        <v>23</v>
      </c>
      <c r="R194" s="5" t="s">
        <v>23</v>
      </c>
      <c r="S194" s="5" t="s">
        <v>23</v>
      </c>
      <c r="T194" s="5" t="s">
        <v>46</v>
      </c>
      <c r="U194" s="5" t="s">
        <v>46</v>
      </c>
      <c r="V194" s="5" t="s">
        <v>46</v>
      </c>
      <c r="W194" s="5">
        <v>0</v>
      </c>
      <c r="X194" s="10" t="s">
        <v>77</v>
      </c>
      <c r="Y194" s="10"/>
      <c r="Z194" s="10"/>
      <c r="AB194" s="2" t="str">
        <f t="shared" si="88"/>
        <v xml:space="preserve">/*18*/{" ","","","","",false,false,false,false,10.0,0,0,0,0.0,0.0,0.0,false,false,false,0},//. </v>
      </c>
      <c r="AD194" s="12" t="str">
        <f t="shared" si="82"/>
        <v/>
      </c>
      <c r="AE194" s="12" t="str">
        <f t="shared" si="83"/>
        <v/>
      </c>
      <c r="AH194" s="12" t="str">
        <f t="shared" si="84"/>
        <v/>
      </c>
      <c r="AI194" s="12" t="str">
        <f t="shared" si="85"/>
        <v/>
      </c>
      <c r="AJ194" s="12" t="str">
        <f t="shared" si="86"/>
        <v/>
      </c>
    </row>
    <row r="195" spans="1:36" x14ac:dyDescent="0.25">
      <c r="A195" s="17">
        <f t="shared" si="87"/>
        <v>19</v>
      </c>
      <c r="B195" s="8" t="s">
        <v>45</v>
      </c>
      <c r="C195" s="4" t="s">
        <v>24</v>
      </c>
      <c r="D195" s="5" t="s">
        <v>0</v>
      </c>
      <c r="E195" s="5"/>
      <c r="F195" s="5" t="s">
        <v>1</v>
      </c>
      <c r="G195" s="5" t="s">
        <v>1</v>
      </c>
      <c r="H195" s="17" t="str">
        <f t="shared" si="89"/>
        <v>""</v>
      </c>
      <c r="I195" s="5" t="s">
        <v>46</v>
      </c>
      <c r="J195" s="5" t="s">
        <v>46</v>
      </c>
      <c r="K195" s="5" t="s">
        <v>46</v>
      </c>
      <c r="L195" s="5" t="s">
        <v>46</v>
      </c>
      <c r="M195" s="5" t="s">
        <v>22</v>
      </c>
      <c r="N195" s="8">
        <f t="shared" si="90"/>
        <v>0</v>
      </c>
      <c r="O195" s="5">
        <v>0</v>
      </c>
      <c r="P195" s="5">
        <v>0</v>
      </c>
      <c r="Q195" s="5" t="s">
        <v>23</v>
      </c>
      <c r="R195" s="5" t="s">
        <v>23</v>
      </c>
      <c r="S195" s="5" t="s">
        <v>23</v>
      </c>
      <c r="T195" s="5" t="s">
        <v>46</v>
      </c>
      <c r="U195" s="5" t="s">
        <v>46</v>
      </c>
      <c r="V195" s="5" t="s">
        <v>46</v>
      </c>
      <c r="W195" s="5">
        <v>0</v>
      </c>
      <c r="X195" s="10" t="s">
        <v>77</v>
      </c>
      <c r="Y195" s="10"/>
      <c r="Z195" s="10"/>
      <c r="AB195" s="2" t="str">
        <f t="shared" si="88"/>
        <v xml:space="preserve">/*19*/{" ","","","","",false,false,false,false,10.0,0,0,0,0.0,0.0,0.0,false,false,false,0},//. </v>
      </c>
      <c r="AD195" s="12" t="str">
        <f>IF(X195="Да",CONCATENATE("float &amp;",SUBSTITUTE(Z195," ","")," = Screens[",$A$173,"][",A195,"].Param;// Ссылка. ",$Y$176,". ",Y195),"")</f>
        <v/>
      </c>
      <c r="AE195" s="12" t="str">
        <f t="shared" si="83"/>
        <v/>
      </c>
      <c r="AH195" s="12" t="str">
        <f>IF(X195="Да",CONCATENATE("Ref.",,SUBSTITUTE(Z195," ","")," = ",$AI$1,$B$173,SUBSTITUTE(E195," ",""),";//",$Y$176,". ",Y195),"")</f>
        <v/>
      </c>
      <c r="AI195" s="12" t="str">
        <f t="shared" si="85"/>
        <v/>
      </c>
      <c r="AJ195" s="12" t="str">
        <f>IF(X195="Да",CONCATENATE($AI$1,SUBSTITUTE(Z195," ","")," = ",M195,";//",$Y$176,". ",Y195),"")</f>
        <v/>
      </c>
    </row>
    <row r="196" spans="1:36" x14ac:dyDescent="0.25">
      <c r="AB196" s="3" t="s">
        <v>25</v>
      </c>
    </row>
    <row r="197" spans="1:36" x14ac:dyDescent="0.25">
      <c r="A197" s="14">
        <f>A173+1</f>
        <v>8</v>
      </c>
      <c r="B197" s="7">
        <f>E200</f>
        <v>0</v>
      </c>
      <c r="D197" s="7" t="s">
        <v>62</v>
      </c>
      <c r="AB197" s="3" t="s">
        <v>51</v>
      </c>
    </row>
    <row r="198" spans="1:36" ht="45" x14ac:dyDescent="0.25">
      <c r="A198" s="15" t="s">
        <v>78</v>
      </c>
      <c r="B198" s="18"/>
      <c r="C198" s="6" t="s">
        <v>25</v>
      </c>
      <c r="D198" s="6" t="s">
        <v>17</v>
      </c>
      <c r="E198" s="6" t="s">
        <v>18</v>
      </c>
      <c r="F198" s="6" t="s">
        <v>19</v>
      </c>
      <c r="G198" s="6" t="s">
        <v>20</v>
      </c>
      <c r="H198" s="6" t="s">
        <v>21</v>
      </c>
      <c r="I198" s="6" t="s">
        <v>2</v>
      </c>
      <c r="J198" s="6" t="s">
        <v>3</v>
      </c>
      <c r="K198" s="6" t="s">
        <v>4</v>
      </c>
      <c r="L198" s="6" t="s">
        <v>5</v>
      </c>
      <c r="M198" s="6" t="s">
        <v>6</v>
      </c>
      <c r="N198" s="6" t="s">
        <v>7</v>
      </c>
      <c r="O198" s="6" t="s">
        <v>8</v>
      </c>
      <c r="P198" s="6" t="s">
        <v>9</v>
      </c>
      <c r="Q198" s="6" t="s">
        <v>10</v>
      </c>
      <c r="R198" s="6" t="s">
        <v>11</v>
      </c>
      <c r="S198" s="6" t="s">
        <v>12</v>
      </c>
      <c r="T198" s="6" t="s">
        <v>13</v>
      </c>
      <c r="U198" s="6" t="s">
        <v>14</v>
      </c>
      <c r="V198" s="6" t="s">
        <v>15</v>
      </c>
      <c r="W198" s="6" t="s">
        <v>16</v>
      </c>
      <c r="X198" s="6" t="s">
        <v>76</v>
      </c>
      <c r="Y198" s="6" t="s">
        <v>80</v>
      </c>
      <c r="Z198" s="6" t="s">
        <v>97</v>
      </c>
      <c r="AA198" s="1"/>
      <c r="AB198" s="2" t="str">
        <f>CONCATENATE(D197," - ",E200)</f>
        <v xml:space="preserve">//Экран 8 - </v>
      </c>
      <c r="AD198" s="19" t="s">
        <v>81</v>
      </c>
      <c r="AE198" s="19" t="s">
        <v>82</v>
      </c>
      <c r="AF198" s="5"/>
      <c r="AG198" s="5"/>
      <c r="AH198" s="19" t="s">
        <v>83</v>
      </c>
      <c r="AI198" s="19" t="s">
        <v>84</v>
      </c>
      <c r="AJ198" s="19" t="s">
        <v>85</v>
      </c>
    </row>
    <row r="199" spans="1:36" x14ac:dyDescent="0.25">
      <c r="A199" s="16"/>
      <c r="B199" s="13"/>
      <c r="C199" s="4" t="s">
        <v>24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11"/>
      <c r="Y199" s="11"/>
      <c r="Z199" s="11"/>
      <c r="AA199" s="1"/>
      <c r="AB199" s="3" t="str">
        <f>C199</f>
        <v>{</v>
      </c>
    </row>
    <row r="200" spans="1:36" x14ac:dyDescent="0.25">
      <c r="A200" s="17">
        <v>0</v>
      </c>
      <c r="B200" s="8" t="s">
        <v>27</v>
      </c>
      <c r="C200" s="4" t="s">
        <v>24</v>
      </c>
      <c r="D200" s="5" t="s">
        <v>0</v>
      </c>
      <c r="E200" s="5"/>
      <c r="F200" s="5" t="s">
        <v>1</v>
      </c>
      <c r="G200" s="5" t="s">
        <v>1</v>
      </c>
      <c r="H200" s="17" t="str">
        <f t="shared" ref="H200:H209" si="91">IF(AND(I200="true",J200="false"),""" ""","""""")</f>
        <v>""</v>
      </c>
      <c r="I200" s="5" t="s">
        <v>46</v>
      </c>
      <c r="J200" s="5" t="s">
        <v>46</v>
      </c>
      <c r="K200" s="5" t="s">
        <v>46</v>
      </c>
      <c r="L200" s="5" t="s">
        <v>46</v>
      </c>
      <c r="M200" s="5" t="s">
        <v>22</v>
      </c>
      <c r="N200" s="8">
        <f t="shared" ref="N200:N209" si="92">N199</f>
        <v>0</v>
      </c>
      <c r="O200" s="5">
        <v>0</v>
      </c>
      <c r="P200" s="5">
        <v>0</v>
      </c>
      <c r="Q200" s="5" t="s">
        <v>23</v>
      </c>
      <c r="R200" s="5" t="s">
        <v>23</v>
      </c>
      <c r="S200" s="5" t="s">
        <v>23</v>
      </c>
      <c r="T200" s="5" t="s">
        <v>46</v>
      </c>
      <c r="U200" s="5" t="s">
        <v>46</v>
      </c>
      <c r="V200" s="5" t="s">
        <v>46</v>
      </c>
      <c r="W200" s="5">
        <v>0</v>
      </c>
      <c r="X200" s="10" t="s">
        <v>77</v>
      </c>
      <c r="Y200" s="10"/>
      <c r="Z200" s="10"/>
      <c r="AB200" s="2" t="str">
        <f>CONCATENATE(B200,C200,D200,",""",E200,""",",F200,",",G200,",",H200,",",I200,",",J200,",",K200,",",L200,",",M200,",",N200,",",O200,",",P200,",",Q200,",",R200,",",S200,",",T200,",",U200,",",V200,",",W200,"},//",Y200)</f>
        <v>/*0*/{" ","","","","",false,false,false,false,10.0,0,0,0,0.0,0.0,0.0,false,false,false,0},//</v>
      </c>
      <c r="AD200" s="12" t="str">
        <f t="shared" ref="AD200:AD218" si="93">IF(X200="Да",IF(T200="false",CONCATENATE("float &amp;",SUBSTITUTE(Z200," ","")," = Screens[",$A$197,"][",A200,"].Param;// Ссылка. ",$Y$200,". ",Y200),CONCATENATE("bool &amp;",SUBSTITUTE(Z200," ","")," = Screens[",$A$197,"][",A200,"].BoolParam;// Ссылка. ",$Y$200,". ",Y200)),"")</f>
        <v/>
      </c>
      <c r="AE200" s="12" t="str">
        <f t="shared" ref="AE200:AE219" si="94">IF(X200="Да",IF(T200="false",CONCATENATE("float ",SUBSTITUTE(Z200," ",""),"; //",$Y$200,". ",Y200),CONCATENATE("bool ",SUBSTITUTE(Z200," ",""),"; //",$Y$200,". ",Y200)),"")</f>
        <v/>
      </c>
      <c r="AH200" s="12" t="str">
        <f t="shared" ref="AH200:AH218" si="95">IF(X200="Да",CONCATENATE("Ref.",,SUBSTITUTE(Z200," ","")," = ",$AI$1,SUBSTITUTE(Z200," ",""),";//",$Y$200,". ",Y200),"")</f>
        <v/>
      </c>
      <c r="AI200" s="12" t="str">
        <f t="shared" ref="AI200:AI219" si="96">IF(X200="Да",CONCATENATE($AI$1,SUBSTITUTE(Z200," ","")," = Ref.",SUBSTITUTE(Z200," ",""),";//",$Y$200,". ",Y200),"")</f>
        <v/>
      </c>
      <c r="AJ200" s="12" t="str">
        <f t="shared" ref="AJ200:AJ218" si="97">IF(X200="Да",IF(T200="false",CONCATENATE($AI$1,SUBSTITUTE(Z200," ","")," = ",M200,";//",$Y$200,". ",Y200),CONCATENATE($AI$1,SUBSTITUTE(Z200," ","")," = ",U200,";//",$Y$200,". ",Y200)),"")</f>
        <v/>
      </c>
    </row>
    <row r="201" spans="1:36" x14ac:dyDescent="0.25">
      <c r="A201" s="17">
        <f>A200+1</f>
        <v>1</v>
      </c>
      <c r="B201" s="8" t="s">
        <v>26</v>
      </c>
      <c r="C201" s="4" t="s">
        <v>24</v>
      </c>
      <c r="D201" s="5" t="s">
        <v>0</v>
      </c>
      <c r="E201" s="5"/>
      <c r="F201" s="5" t="s">
        <v>1</v>
      </c>
      <c r="G201" s="5" t="s">
        <v>1</v>
      </c>
      <c r="H201" s="17" t="str">
        <f t="shared" si="91"/>
        <v>""</v>
      </c>
      <c r="I201" s="5" t="s">
        <v>46</v>
      </c>
      <c r="J201" s="5" t="s">
        <v>46</v>
      </c>
      <c r="K201" s="5" t="s">
        <v>46</v>
      </c>
      <c r="L201" s="5" t="s">
        <v>46</v>
      </c>
      <c r="M201" s="5" t="s">
        <v>22</v>
      </c>
      <c r="N201" s="8">
        <f t="shared" si="92"/>
        <v>0</v>
      </c>
      <c r="O201" s="5">
        <v>0</v>
      </c>
      <c r="P201" s="5">
        <v>0</v>
      </c>
      <c r="Q201" s="5" t="s">
        <v>23</v>
      </c>
      <c r="R201" s="5" t="s">
        <v>23</v>
      </c>
      <c r="S201" s="5" t="s">
        <v>23</v>
      </c>
      <c r="T201" s="5" t="s">
        <v>46</v>
      </c>
      <c r="U201" s="5" t="s">
        <v>46</v>
      </c>
      <c r="V201" s="5" t="s">
        <v>46</v>
      </c>
      <c r="W201" s="5">
        <v>0</v>
      </c>
      <c r="X201" s="10" t="s">
        <v>77</v>
      </c>
      <c r="Y201" s="10"/>
      <c r="Z201" s="10"/>
      <c r="AB201" s="2" t="str">
        <f>CONCATENATE(B201,C201,D201,",""",E201,""",",F201,",",G201,",",H201,",",I201,",",J201,",",K201,",",L201,",",M201,",",N201,",",O201,",",P201,",",Q201,",",R201,",",S201,",",T201,",",U201,",",V201,",",W201,"},//",Y$200,". ",Y201)</f>
        <v xml:space="preserve">/*1*/{" ","","","","",false,false,false,false,10.0,0,0,0,0.0,0.0,0.0,false,false,false,0},//. </v>
      </c>
      <c r="AD201" s="12" t="str">
        <f t="shared" si="93"/>
        <v/>
      </c>
      <c r="AE201" s="12" t="str">
        <f t="shared" si="94"/>
        <v/>
      </c>
      <c r="AH201" s="12" t="str">
        <f t="shared" si="95"/>
        <v/>
      </c>
      <c r="AI201" s="12" t="str">
        <f t="shared" si="96"/>
        <v/>
      </c>
      <c r="AJ201" s="12" t="str">
        <f t="shared" si="97"/>
        <v/>
      </c>
    </row>
    <row r="202" spans="1:36" x14ac:dyDescent="0.25">
      <c r="A202" s="17">
        <f t="shared" ref="A202:A219" si="98">A201+1</f>
        <v>2</v>
      </c>
      <c r="B202" s="8" t="s">
        <v>28</v>
      </c>
      <c r="C202" s="4" t="s">
        <v>24</v>
      </c>
      <c r="D202" s="5" t="s">
        <v>0</v>
      </c>
      <c r="E202" s="5"/>
      <c r="F202" s="5" t="s">
        <v>1</v>
      </c>
      <c r="G202" s="5" t="s">
        <v>1</v>
      </c>
      <c r="H202" s="17" t="str">
        <f t="shared" si="91"/>
        <v>""</v>
      </c>
      <c r="I202" s="5" t="s">
        <v>46</v>
      </c>
      <c r="J202" s="5" t="s">
        <v>46</v>
      </c>
      <c r="K202" s="5" t="s">
        <v>46</v>
      </c>
      <c r="L202" s="5" t="s">
        <v>46</v>
      </c>
      <c r="M202" s="5" t="s">
        <v>22</v>
      </c>
      <c r="N202" s="8">
        <f t="shared" si="92"/>
        <v>0</v>
      </c>
      <c r="O202" s="5">
        <v>0</v>
      </c>
      <c r="P202" s="5">
        <v>0</v>
      </c>
      <c r="Q202" s="5" t="s">
        <v>23</v>
      </c>
      <c r="R202" s="5" t="s">
        <v>23</v>
      </c>
      <c r="S202" s="5" t="s">
        <v>23</v>
      </c>
      <c r="T202" s="5" t="s">
        <v>46</v>
      </c>
      <c r="U202" s="5" t="s">
        <v>46</v>
      </c>
      <c r="V202" s="5" t="s">
        <v>46</v>
      </c>
      <c r="W202" s="5">
        <v>0</v>
      </c>
      <c r="X202" s="10" t="s">
        <v>77</v>
      </c>
      <c r="Y202" s="10"/>
      <c r="Z202" s="10"/>
      <c r="AB202" s="2" t="str">
        <f t="shared" ref="AB202:AB219" si="99">CONCATENATE(B202,C202,D202,",""",E202,""",",F202,",",G202,",",H202,",",I202,",",J202,",",K202,",",L202,",",M202,",",N202,",",O202,",",P202,",",Q202,",",R202,",",S202,",",T202,",",U202,",",V202,",",W202,"},//",Y$200,". ",Y202)</f>
        <v xml:space="preserve">/*2*/{" ","","","","",false,false,false,false,10.0,0,0,0,0.0,0.0,0.0,false,false,false,0},//. </v>
      </c>
      <c r="AD202" s="12" t="str">
        <f t="shared" si="93"/>
        <v/>
      </c>
      <c r="AE202" s="12" t="str">
        <f t="shared" si="94"/>
        <v/>
      </c>
      <c r="AH202" s="12" t="str">
        <f t="shared" si="95"/>
        <v/>
      </c>
      <c r="AI202" s="12" t="str">
        <f t="shared" si="96"/>
        <v/>
      </c>
      <c r="AJ202" s="12" t="str">
        <f t="shared" si="97"/>
        <v/>
      </c>
    </row>
    <row r="203" spans="1:36" x14ac:dyDescent="0.25">
      <c r="A203" s="17">
        <f t="shared" si="98"/>
        <v>3</v>
      </c>
      <c r="B203" s="8" t="s">
        <v>29</v>
      </c>
      <c r="C203" s="4" t="s">
        <v>24</v>
      </c>
      <c r="D203" s="5" t="s">
        <v>0</v>
      </c>
      <c r="E203" s="5"/>
      <c r="F203" s="5" t="s">
        <v>1</v>
      </c>
      <c r="G203" s="5" t="s">
        <v>1</v>
      </c>
      <c r="H203" s="17" t="str">
        <f t="shared" si="91"/>
        <v>""</v>
      </c>
      <c r="I203" s="5" t="s">
        <v>46</v>
      </c>
      <c r="J203" s="5" t="s">
        <v>46</v>
      </c>
      <c r="K203" s="5" t="s">
        <v>46</v>
      </c>
      <c r="L203" s="5" t="s">
        <v>46</v>
      </c>
      <c r="M203" s="5" t="s">
        <v>22</v>
      </c>
      <c r="N203" s="8">
        <f t="shared" si="92"/>
        <v>0</v>
      </c>
      <c r="O203" s="5">
        <v>0</v>
      </c>
      <c r="P203" s="5">
        <v>0</v>
      </c>
      <c r="Q203" s="5" t="s">
        <v>23</v>
      </c>
      <c r="R203" s="5" t="s">
        <v>23</v>
      </c>
      <c r="S203" s="5" t="s">
        <v>23</v>
      </c>
      <c r="T203" s="5" t="s">
        <v>46</v>
      </c>
      <c r="U203" s="5" t="s">
        <v>46</v>
      </c>
      <c r="V203" s="5" t="s">
        <v>46</v>
      </c>
      <c r="W203" s="5">
        <v>0</v>
      </c>
      <c r="X203" s="10" t="s">
        <v>77</v>
      </c>
      <c r="Y203" s="10"/>
      <c r="Z203" s="10"/>
      <c r="AB203" s="2" t="str">
        <f t="shared" si="99"/>
        <v xml:space="preserve">/*3*/{" ","","","","",false,false,false,false,10.0,0,0,0,0.0,0.0,0.0,false,false,false,0},//. </v>
      </c>
      <c r="AD203" s="12" t="str">
        <f t="shared" si="93"/>
        <v/>
      </c>
      <c r="AE203" s="12" t="str">
        <f t="shared" si="94"/>
        <v/>
      </c>
      <c r="AH203" s="12" t="str">
        <f t="shared" si="95"/>
        <v/>
      </c>
      <c r="AI203" s="12" t="str">
        <f t="shared" si="96"/>
        <v/>
      </c>
      <c r="AJ203" s="12" t="str">
        <f t="shared" si="97"/>
        <v/>
      </c>
    </row>
    <row r="204" spans="1:36" x14ac:dyDescent="0.25">
      <c r="A204" s="17">
        <f t="shared" si="98"/>
        <v>4</v>
      </c>
      <c r="B204" s="8" t="s">
        <v>30</v>
      </c>
      <c r="C204" s="4" t="s">
        <v>24</v>
      </c>
      <c r="D204" s="5" t="s">
        <v>0</v>
      </c>
      <c r="E204" s="5"/>
      <c r="F204" s="5" t="s">
        <v>1</v>
      </c>
      <c r="G204" s="5" t="s">
        <v>1</v>
      </c>
      <c r="H204" s="17" t="str">
        <f t="shared" si="91"/>
        <v>""</v>
      </c>
      <c r="I204" s="5" t="s">
        <v>46</v>
      </c>
      <c r="J204" s="5" t="s">
        <v>46</v>
      </c>
      <c r="K204" s="5" t="s">
        <v>46</v>
      </c>
      <c r="L204" s="5" t="s">
        <v>46</v>
      </c>
      <c r="M204" s="5" t="s">
        <v>22</v>
      </c>
      <c r="N204" s="8">
        <f t="shared" si="92"/>
        <v>0</v>
      </c>
      <c r="O204" s="5">
        <v>0</v>
      </c>
      <c r="P204" s="5">
        <v>0</v>
      </c>
      <c r="Q204" s="5" t="s">
        <v>23</v>
      </c>
      <c r="R204" s="5" t="s">
        <v>23</v>
      </c>
      <c r="S204" s="5" t="s">
        <v>23</v>
      </c>
      <c r="T204" s="5" t="s">
        <v>46</v>
      </c>
      <c r="U204" s="5" t="s">
        <v>46</v>
      </c>
      <c r="V204" s="5" t="s">
        <v>46</v>
      </c>
      <c r="W204" s="5">
        <v>0</v>
      </c>
      <c r="X204" s="10" t="s">
        <v>77</v>
      </c>
      <c r="Y204" s="10"/>
      <c r="Z204" s="10"/>
      <c r="AB204" s="2" t="str">
        <f t="shared" si="99"/>
        <v xml:space="preserve">/*4*/{" ","","","","",false,false,false,false,10.0,0,0,0,0.0,0.0,0.0,false,false,false,0},//. </v>
      </c>
      <c r="AD204" s="12" t="str">
        <f t="shared" si="93"/>
        <v/>
      </c>
      <c r="AE204" s="12" t="str">
        <f t="shared" si="94"/>
        <v/>
      </c>
      <c r="AH204" s="12" t="str">
        <f t="shared" si="95"/>
        <v/>
      </c>
      <c r="AI204" s="12" t="str">
        <f t="shared" si="96"/>
        <v/>
      </c>
      <c r="AJ204" s="12" t="str">
        <f t="shared" si="97"/>
        <v/>
      </c>
    </row>
    <row r="205" spans="1:36" x14ac:dyDescent="0.25">
      <c r="A205" s="17">
        <f t="shared" si="98"/>
        <v>5</v>
      </c>
      <c r="B205" s="8" t="s">
        <v>31</v>
      </c>
      <c r="C205" s="4" t="s">
        <v>24</v>
      </c>
      <c r="D205" s="5" t="s">
        <v>0</v>
      </c>
      <c r="E205" s="5"/>
      <c r="F205" s="5" t="s">
        <v>1</v>
      </c>
      <c r="G205" s="5" t="s">
        <v>1</v>
      </c>
      <c r="H205" s="17" t="str">
        <f t="shared" si="91"/>
        <v>""</v>
      </c>
      <c r="I205" s="5" t="s">
        <v>46</v>
      </c>
      <c r="J205" s="5" t="s">
        <v>46</v>
      </c>
      <c r="K205" s="5" t="s">
        <v>46</v>
      </c>
      <c r="L205" s="5" t="s">
        <v>46</v>
      </c>
      <c r="M205" s="5" t="s">
        <v>22</v>
      </c>
      <c r="N205" s="8">
        <f t="shared" si="92"/>
        <v>0</v>
      </c>
      <c r="O205" s="5">
        <v>0</v>
      </c>
      <c r="P205" s="5">
        <v>0</v>
      </c>
      <c r="Q205" s="5" t="s">
        <v>23</v>
      </c>
      <c r="R205" s="5" t="s">
        <v>23</v>
      </c>
      <c r="S205" s="5" t="s">
        <v>23</v>
      </c>
      <c r="T205" s="5" t="s">
        <v>46</v>
      </c>
      <c r="U205" s="5" t="s">
        <v>46</v>
      </c>
      <c r="V205" s="5" t="s">
        <v>46</v>
      </c>
      <c r="W205" s="5">
        <v>0</v>
      </c>
      <c r="X205" s="10" t="s">
        <v>77</v>
      </c>
      <c r="Y205" s="10"/>
      <c r="Z205" s="10"/>
      <c r="AB205" s="2" t="str">
        <f t="shared" si="99"/>
        <v xml:space="preserve">/*5*/{" ","","","","",false,false,false,false,10.0,0,0,0,0.0,0.0,0.0,false,false,false,0},//. </v>
      </c>
      <c r="AD205" s="12" t="str">
        <f t="shared" si="93"/>
        <v/>
      </c>
      <c r="AE205" s="12" t="str">
        <f t="shared" si="94"/>
        <v/>
      </c>
      <c r="AH205" s="12" t="str">
        <f t="shared" si="95"/>
        <v/>
      </c>
      <c r="AI205" s="12" t="str">
        <f t="shared" si="96"/>
        <v/>
      </c>
      <c r="AJ205" s="12" t="str">
        <f t="shared" si="97"/>
        <v/>
      </c>
    </row>
    <row r="206" spans="1:36" x14ac:dyDescent="0.25">
      <c r="A206" s="17">
        <f t="shared" si="98"/>
        <v>6</v>
      </c>
      <c r="B206" s="8" t="s">
        <v>32</v>
      </c>
      <c r="C206" s="4" t="s">
        <v>24</v>
      </c>
      <c r="D206" s="5" t="s">
        <v>0</v>
      </c>
      <c r="E206" s="5"/>
      <c r="F206" s="5" t="s">
        <v>1</v>
      </c>
      <c r="G206" s="5" t="s">
        <v>1</v>
      </c>
      <c r="H206" s="17" t="str">
        <f t="shared" si="91"/>
        <v>""</v>
      </c>
      <c r="I206" s="5" t="s">
        <v>46</v>
      </c>
      <c r="J206" s="5" t="s">
        <v>46</v>
      </c>
      <c r="K206" s="5" t="s">
        <v>46</v>
      </c>
      <c r="L206" s="5" t="s">
        <v>46</v>
      </c>
      <c r="M206" s="5" t="s">
        <v>22</v>
      </c>
      <c r="N206" s="8">
        <f t="shared" si="92"/>
        <v>0</v>
      </c>
      <c r="O206" s="5">
        <v>0</v>
      </c>
      <c r="P206" s="5">
        <v>0</v>
      </c>
      <c r="Q206" s="5" t="s">
        <v>23</v>
      </c>
      <c r="R206" s="5" t="s">
        <v>23</v>
      </c>
      <c r="S206" s="5" t="s">
        <v>23</v>
      </c>
      <c r="T206" s="5" t="s">
        <v>46</v>
      </c>
      <c r="U206" s="5" t="s">
        <v>46</v>
      </c>
      <c r="V206" s="5" t="s">
        <v>46</v>
      </c>
      <c r="W206" s="5">
        <v>0</v>
      </c>
      <c r="X206" s="10" t="s">
        <v>77</v>
      </c>
      <c r="Y206" s="10"/>
      <c r="Z206" s="10"/>
      <c r="AB206" s="2" t="str">
        <f t="shared" si="99"/>
        <v xml:space="preserve">/*6*/{" ","","","","",false,false,false,false,10.0,0,0,0,0.0,0.0,0.0,false,false,false,0},//. </v>
      </c>
      <c r="AD206" s="12" t="str">
        <f t="shared" si="93"/>
        <v/>
      </c>
      <c r="AE206" s="12" t="str">
        <f t="shared" si="94"/>
        <v/>
      </c>
      <c r="AH206" s="12" t="str">
        <f t="shared" si="95"/>
        <v/>
      </c>
      <c r="AI206" s="12" t="str">
        <f t="shared" si="96"/>
        <v/>
      </c>
      <c r="AJ206" s="12" t="str">
        <f t="shared" si="97"/>
        <v/>
      </c>
    </row>
    <row r="207" spans="1:36" x14ac:dyDescent="0.25">
      <c r="A207" s="17">
        <f t="shared" si="98"/>
        <v>7</v>
      </c>
      <c r="B207" s="8" t="s">
        <v>33</v>
      </c>
      <c r="C207" s="4" t="s">
        <v>24</v>
      </c>
      <c r="D207" s="5" t="s">
        <v>0</v>
      </c>
      <c r="E207" s="5"/>
      <c r="F207" s="5" t="s">
        <v>1</v>
      </c>
      <c r="G207" s="5" t="s">
        <v>1</v>
      </c>
      <c r="H207" s="17" t="str">
        <f t="shared" si="91"/>
        <v>""</v>
      </c>
      <c r="I207" s="5" t="s">
        <v>46</v>
      </c>
      <c r="J207" s="5" t="s">
        <v>46</v>
      </c>
      <c r="K207" s="5" t="s">
        <v>46</v>
      </c>
      <c r="L207" s="5" t="s">
        <v>46</v>
      </c>
      <c r="M207" s="5" t="s">
        <v>22</v>
      </c>
      <c r="N207" s="8">
        <f t="shared" si="92"/>
        <v>0</v>
      </c>
      <c r="O207" s="5">
        <v>0</v>
      </c>
      <c r="P207" s="5">
        <v>0</v>
      </c>
      <c r="Q207" s="5" t="s">
        <v>23</v>
      </c>
      <c r="R207" s="5" t="s">
        <v>23</v>
      </c>
      <c r="S207" s="5" t="s">
        <v>23</v>
      </c>
      <c r="T207" s="5" t="s">
        <v>46</v>
      </c>
      <c r="U207" s="5" t="s">
        <v>46</v>
      </c>
      <c r="V207" s="5" t="s">
        <v>46</v>
      </c>
      <c r="W207" s="5">
        <v>0</v>
      </c>
      <c r="X207" s="10" t="s">
        <v>77</v>
      </c>
      <c r="Y207" s="10"/>
      <c r="Z207" s="10"/>
      <c r="AB207" s="2" t="str">
        <f t="shared" si="99"/>
        <v xml:space="preserve">/*7*/{" ","","","","",false,false,false,false,10.0,0,0,0,0.0,0.0,0.0,false,false,false,0},//. </v>
      </c>
      <c r="AD207" s="12" t="str">
        <f t="shared" si="93"/>
        <v/>
      </c>
      <c r="AE207" s="12" t="str">
        <f t="shared" si="94"/>
        <v/>
      </c>
      <c r="AH207" s="12" t="str">
        <f t="shared" si="95"/>
        <v/>
      </c>
      <c r="AI207" s="12" t="str">
        <f t="shared" si="96"/>
        <v/>
      </c>
      <c r="AJ207" s="12" t="str">
        <f t="shared" si="97"/>
        <v/>
      </c>
    </row>
    <row r="208" spans="1:36" x14ac:dyDescent="0.25">
      <c r="A208" s="17">
        <f t="shared" si="98"/>
        <v>8</v>
      </c>
      <c r="B208" s="8" t="s">
        <v>34</v>
      </c>
      <c r="C208" s="4" t="s">
        <v>24</v>
      </c>
      <c r="D208" s="5" t="s">
        <v>0</v>
      </c>
      <c r="E208" s="5"/>
      <c r="F208" s="5" t="s">
        <v>1</v>
      </c>
      <c r="G208" s="5" t="s">
        <v>1</v>
      </c>
      <c r="H208" s="17" t="str">
        <f t="shared" si="91"/>
        <v>""</v>
      </c>
      <c r="I208" s="5" t="s">
        <v>46</v>
      </c>
      <c r="J208" s="5" t="s">
        <v>46</v>
      </c>
      <c r="K208" s="5" t="s">
        <v>46</v>
      </c>
      <c r="L208" s="5" t="s">
        <v>46</v>
      </c>
      <c r="M208" s="5" t="s">
        <v>22</v>
      </c>
      <c r="N208" s="8">
        <f t="shared" si="92"/>
        <v>0</v>
      </c>
      <c r="O208" s="5">
        <v>0</v>
      </c>
      <c r="P208" s="5">
        <v>0</v>
      </c>
      <c r="Q208" s="5" t="s">
        <v>23</v>
      </c>
      <c r="R208" s="5" t="s">
        <v>23</v>
      </c>
      <c r="S208" s="5" t="s">
        <v>23</v>
      </c>
      <c r="T208" s="5" t="s">
        <v>46</v>
      </c>
      <c r="U208" s="5" t="s">
        <v>46</v>
      </c>
      <c r="V208" s="5" t="s">
        <v>46</v>
      </c>
      <c r="W208" s="5">
        <v>0</v>
      </c>
      <c r="X208" s="10" t="s">
        <v>77</v>
      </c>
      <c r="Y208" s="10"/>
      <c r="Z208" s="10"/>
      <c r="AB208" s="2" t="str">
        <f t="shared" si="99"/>
        <v xml:space="preserve">/*8*/{" ","","","","",false,false,false,false,10.0,0,0,0,0.0,0.0,0.0,false,false,false,0},//. </v>
      </c>
      <c r="AD208" s="12" t="str">
        <f t="shared" si="93"/>
        <v/>
      </c>
      <c r="AE208" s="12" t="str">
        <f t="shared" si="94"/>
        <v/>
      </c>
      <c r="AH208" s="12" t="str">
        <f t="shared" si="95"/>
        <v/>
      </c>
      <c r="AI208" s="12" t="str">
        <f t="shared" si="96"/>
        <v/>
      </c>
      <c r="AJ208" s="12" t="str">
        <f t="shared" si="97"/>
        <v/>
      </c>
    </row>
    <row r="209" spans="1:36" x14ac:dyDescent="0.25">
      <c r="A209" s="17">
        <f t="shared" si="98"/>
        <v>9</v>
      </c>
      <c r="B209" s="8" t="s">
        <v>35</v>
      </c>
      <c r="C209" s="4" t="s">
        <v>24</v>
      </c>
      <c r="D209" s="5" t="s">
        <v>0</v>
      </c>
      <c r="E209" s="5"/>
      <c r="F209" s="5" t="s">
        <v>1</v>
      </c>
      <c r="G209" s="5" t="s">
        <v>1</v>
      </c>
      <c r="H209" s="17" t="str">
        <f t="shared" si="91"/>
        <v>""</v>
      </c>
      <c r="I209" s="5" t="s">
        <v>46</v>
      </c>
      <c r="J209" s="5" t="s">
        <v>46</v>
      </c>
      <c r="K209" s="5" t="s">
        <v>46</v>
      </c>
      <c r="L209" s="5" t="s">
        <v>46</v>
      </c>
      <c r="M209" s="5" t="s">
        <v>22</v>
      </c>
      <c r="N209" s="8">
        <f t="shared" si="92"/>
        <v>0</v>
      </c>
      <c r="O209" s="5">
        <v>0</v>
      </c>
      <c r="P209" s="5">
        <v>0</v>
      </c>
      <c r="Q209" s="5" t="s">
        <v>23</v>
      </c>
      <c r="R209" s="5" t="s">
        <v>23</v>
      </c>
      <c r="S209" s="5" t="s">
        <v>23</v>
      </c>
      <c r="T209" s="5" t="s">
        <v>46</v>
      </c>
      <c r="U209" s="5" t="s">
        <v>46</v>
      </c>
      <c r="V209" s="5" t="s">
        <v>46</v>
      </c>
      <c r="W209" s="5">
        <v>0</v>
      </c>
      <c r="X209" s="10" t="s">
        <v>77</v>
      </c>
      <c r="Y209" s="10"/>
      <c r="Z209" s="10"/>
      <c r="AB209" s="2" t="str">
        <f t="shared" si="99"/>
        <v xml:space="preserve">/*9*/{" ","","","","",false,false,false,false,10.0,0,0,0,0.0,0.0,0.0,false,false,false,0},//. </v>
      </c>
      <c r="AD209" s="12" t="str">
        <f t="shared" si="93"/>
        <v/>
      </c>
      <c r="AE209" s="12" t="str">
        <f t="shared" si="94"/>
        <v/>
      </c>
      <c r="AH209" s="12" t="str">
        <f t="shared" si="95"/>
        <v/>
      </c>
      <c r="AI209" s="12" t="str">
        <f t="shared" si="96"/>
        <v/>
      </c>
      <c r="AJ209" s="12" t="str">
        <f t="shared" si="97"/>
        <v/>
      </c>
    </row>
    <row r="210" spans="1:36" x14ac:dyDescent="0.25">
      <c r="A210" s="17">
        <f t="shared" si="98"/>
        <v>10</v>
      </c>
      <c r="B210" s="8" t="s">
        <v>36</v>
      </c>
      <c r="C210" s="4" t="s">
        <v>24</v>
      </c>
      <c r="D210" s="5" t="s">
        <v>0</v>
      </c>
      <c r="E210" s="5"/>
      <c r="F210" s="5" t="s">
        <v>1</v>
      </c>
      <c r="G210" s="5" t="s">
        <v>1</v>
      </c>
      <c r="H210" s="17" t="str">
        <f t="shared" ref="H210:H219" si="100">IF(AND(I210="true",J210="false"),""" ""","""""")</f>
        <v>""</v>
      </c>
      <c r="I210" s="5" t="s">
        <v>46</v>
      </c>
      <c r="J210" s="5" t="s">
        <v>46</v>
      </c>
      <c r="K210" s="5" t="s">
        <v>46</v>
      </c>
      <c r="L210" s="5" t="s">
        <v>46</v>
      </c>
      <c r="M210" s="5" t="s">
        <v>22</v>
      </c>
      <c r="N210" s="8">
        <f t="shared" ref="N210:N219" si="101">N209</f>
        <v>0</v>
      </c>
      <c r="O210" s="5">
        <v>0</v>
      </c>
      <c r="P210" s="5">
        <v>0</v>
      </c>
      <c r="Q210" s="5" t="s">
        <v>23</v>
      </c>
      <c r="R210" s="5" t="s">
        <v>23</v>
      </c>
      <c r="S210" s="5" t="s">
        <v>23</v>
      </c>
      <c r="T210" s="5" t="s">
        <v>46</v>
      </c>
      <c r="U210" s="5" t="s">
        <v>46</v>
      </c>
      <c r="V210" s="5" t="s">
        <v>46</v>
      </c>
      <c r="W210" s="5">
        <v>0</v>
      </c>
      <c r="X210" s="10" t="s">
        <v>77</v>
      </c>
      <c r="Y210" s="10"/>
      <c r="Z210" s="10"/>
      <c r="AB210" s="2" t="str">
        <f t="shared" si="99"/>
        <v xml:space="preserve">/*10*/{" ","","","","",false,false,false,false,10.0,0,0,0,0.0,0.0,0.0,false,false,false,0},//. </v>
      </c>
      <c r="AD210" s="12" t="str">
        <f t="shared" si="93"/>
        <v/>
      </c>
      <c r="AE210" s="12" t="str">
        <f t="shared" si="94"/>
        <v/>
      </c>
      <c r="AH210" s="12" t="str">
        <f t="shared" si="95"/>
        <v/>
      </c>
      <c r="AI210" s="12" t="str">
        <f t="shared" si="96"/>
        <v/>
      </c>
      <c r="AJ210" s="12" t="str">
        <f t="shared" si="97"/>
        <v/>
      </c>
    </row>
    <row r="211" spans="1:36" x14ac:dyDescent="0.25">
      <c r="A211" s="17">
        <f t="shared" si="98"/>
        <v>11</v>
      </c>
      <c r="B211" s="8" t="s">
        <v>37</v>
      </c>
      <c r="C211" s="4" t="s">
        <v>24</v>
      </c>
      <c r="D211" s="5" t="s">
        <v>0</v>
      </c>
      <c r="E211" s="5"/>
      <c r="F211" s="5" t="s">
        <v>1</v>
      </c>
      <c r="G211" s="5" t="s">
        <v>1</v>
      </c>
      <c r="H211" s="17" t="str">
        <f t="shared" si="100"/>
        <v>""</v>
      </c>
      <c r="I211" s="5" t="s">
        <v>46</v>
      </c>
      <c r="J211" s="5" t="s">
        <v>46</v>
      </c>
      <c r="K211" s="5" t="s">
        <v>46</v>
      </c>
      <c r="L211" s="5" t="s">
        <v>46</v>
      </c>
      <c r="M211" s="5" t="s">
        <v>22</v>
      </c>
      <c r="N211" s="8">
        <f t="shared" si="101"/>
        <v>0</v>
      </c>
      <c r="O211" s="5">
        <v>0</v>
      </c>
      <c r="P211" s="5">
        <v>0</v>
      </c>
      <c r="Q211" s="5" t="s">
        <v>23</v>
      </c>
      <c r="R211" s="5" t="s">
        <v>23</v>
      </c>
      <c r="S211" s="5" t="s">
        <v>23</v>
      </c>
      <c r="T211" s="5" t="s">
        <v>46</v>
      </c>
      <c r="U211" s="5" t="s">
        <v>46</v>
      </c>
      <c r="V211" s="5" t="s">
        <v>46</v>
      </c>
      <c r="W211" s="5">
        <v>0</v>
      </c>
      <c r="X211" s="10" t="s">
        <v>77</v>
      </c>
      <c r="Y211" s="10"/>
      <c r="Z211" s="10"/>
      <c r="AB211" s="2" t="str">
        <f t="shared" si="99"/>
        <v xml:space="preserve">/*11*/{" ","","","","",false,false,false,false,10.0,0,0,0,0.0,0.0,0.0,false,false,false,0},//. </v>
      </c>
      <c r="AD211" s="12" t="str">
        <f t="shared" si="93"/>
        <v/>
      </c>
      <c r="AE211" s="12" t="str">
        <f t="shared" si="94"/>
        <v/>
      </c>
      <c r="AH211" s="12" t="str">
        <f t="shared" si="95"/>
        <v/>
      </c>
      <c r="AI211" s="12" t="str">
        <f t="shared" si="96"/>
        <v/>
      </c>
      <c r="AJ211" s="12" t="str">
        <f t="shared" si="97"/>
        <v/>
      </c>
    </row>
    <row r="212" spans="1:36" x14ac:dyDescent="0.25">
      <c r="A212" s="17">
        <f t="shared" si="98"/>
        <v>12</v>
      </c>
      <c r="B212" s="8" t="s">
        <v>38</v>
      </c>
      <c r="C212" s="4" t="s">
        <v>24</v>
      </c>
      <c r="D212" s="5" t="s">
        <v>0</v>
      </c>
      <c r="E212" s="5"/>
      <c r="F212" s="5" t="s">
        <v>1</v>
      </c>
      <c r="G212" s="5" t="s">
        <v>1</v>
      </c>
      <c r="H212" s="17" t="str">
        <f t="shared" si="100"/>
        <v>""</v>
      </c>
      <c r="I212" s="5" t="s">
        <v>46</v>
      </c>
      <c r="J212" s="5" t="s">
        <v>46</v>
      </c>
      <c r="K212" s="5" t="s">
        <v>46</v>
      </c>
      <c r="L212" s="5" t="s">
        <v>46</v>
      </c>
      <c r="M212" s="5" t="s">
        <v>22</v>
      </c>
      <c r="N212" s="8">
        <f t="shared" si="101"/>
        <v>0</v>
      </c>
      <c r="O212" s="5">
        <v>0</v>
      </c>
      <c r="P212" s="5">
        <v>0</v>
      </c>
      <c r="Q212" s="5" t="s">
        <v>23</v>
      </c>
      <c r="R212" s="5" t="s">
        <v>23</v>
      </c>
      <c r="S212" s="5" t="s">
        <v>23</v>
      </c>
      <c r="T212" s="5" t="s">
        <v>46</v>
      </c>
      <c r="U212" s="5" t="s">
        <v>46</v>
      </c>
      <c r="V212" s="5" t="s">
        <v>46</v>
      </c>
      <c r="W212" s="5">
        <v>0</v>
      </c>
      <c r="X212" s="10" t="s">
        <v>77</v>
      </c>
      <c r="Y212" s="10"/>
      <c r="Z212" s="10"/>
      <c r="AB212" s="2" t="str">
        <f t="shared" si="99"/>
        <v xml:space="preserve">/*12*/{" ","","","","",false,false,false,false,10.0,0,0,0,0.0,0.0,0.0,false,false,false,0},//. </v>
      </c>
      <c r="AD212" s="12" t="str">
        <f t="shared" si="93"/>
        <v/>
      </c>
      <c r="AE212" s="12" t="str">
        <f t="shared" si="94"/>
        <v/>
      </c>
      <c r="AH212" s="12" t="str">
        <f t="shared" si="95"/>
        <v/>
      </c>
      <c r="AI212" s="12" t="str">
        <f t="shared" si="96"/>
        <v/>
      </c>
      <c r="AJ212" s="12" t="str">
        <f t="shared" si="97"/>
        <v/>
      </c>
    </row>
    <row r="213" spans="1:36" x14ac:dyDescent="0.25">
      <c r="A213" s="17">
        <f t="shared" si="98"/>
        <v>13</v>
      </c>
      <c r="B213" s="8" t="s">
        <v>39</v>
      </c>
      <c r="C213" s="4" t="s">
        <v>24</v>
      </c>
      <c r="D213" s="5" t="s">
        <v>0</v>
      </c>
      <c r="E213" s="5"/>
      <c r="F213" s="5" t="s">
        <v>1</v>
      </c>
      <c r="G213" s="5" t="s">
        <v>1</v>
      </c>
      <c r="H213" s="17" t="str">
        <f t="shared" si="100"/>
        <v>""</v>
      </c>
      <c r="I213" s="5" t="s">
        <v>46</v>
      </c>
      <c r="J213" s="5" t="s">
        <v>46</v>
      </c>
      <c r="K213" s="5" t="s">
        <v>46</v>
      </c>
      <c r="L213" s="5" t="s">
        <v>46</v>
      </c>
      <c r="M213" s="5" t="s">
        <v>22</v>
      </c>
      <c r="N213" s="8">
        <f t="shared" si="101"/>
        <v>0</v>
      </c>
      <c r="O213" s="5">
        <v>0</v>
      </c>
      <c r="P213" s="5">
        <v>0</v>
      </c>
      <c r="Q213" s="5" t="s">
        <v>23</v>
      </c>
      <c r="R213" s="5" t="s">
        <v>23</v>
      </c>
      <c r="S213" s="5" t="s">
        <v>23</v>
      </c>
      <c r="T213" s="5" t="s">
        <v>46</v>
      </c>
      <c r="U213" s="5" t="s">
        <v>46</v>
      </c>
      <c r="V213" s="5" t="s">
        <v>46</v>
      </c>
      <c r="W213" s="5">
        <v>0</v>
      </c>
      <c r="X213" s="10" t="s">
        <v>77</v>
      </c>
      <c r="Y213" s="10"/>
      <c r="Z213" s="10"/>
      <c r="AB213" s="2" t="str">
        <f t="shared" si="99"/>
        <v xml:space="preserve">/*13*/{" ","","","","",false,false,false,false,10.0,0,0,0,0.0,0.0,0.0,false,false,false,0},//. </v>
      </c>
      <c r="AD213" s="12" t="str">
        <f t="shared" si="93"/>
        <v/>
      </c>
      <c r="AE213" s="12" t="str">
        <f t="shared" si="94"/>
        <v/>
      </c>
      <c r="AH213" s="12" t="str">
        <f t="shared" si="95"/>
        <v/>
      </c>
      <c r="AI213" s="12" t="str">
        <f t="shared" si="96"/>
        <v/>
      </c>
      <c r="AJ213" s="12" t="str">
        <f t="shared" si="97"/>
        <v/>
      </c>
    </row>
    <row r="214" spans="1:36" x14ac:dyDescent="0.25">
      <c r="A214" s="17">
        <f t="shared" si="98"/>
        <v>14</v>
      </c>
      <c r="B214" s="8" t="s">
        <v>40</v>
      </c>
      <c r="C214" s="4" t="s">
        <v>24</v>
      </c>
      <c r="D214" s="5" t="s">
        <v>0</v>
      </c>
      <c r="E214" s="5"/>
      <c r="F214" s="5" t="s">
        <v>1</v>
      </c>
      <c r="G214" s="5" t="s">
        <v>1</v>
      </c>
      <c r="H214" s="17" t="str">
        <f t="shared" si="100"/>
        <v>""</v>
      </c>
      <c r="I214" s="5" t="s">
        <v>46</v>
      </c>
      <c r="J214" s="5" t="s">
        <v>46</v>
      </c>
      <c r="K214" s="5" t="s">
        <v>46</v>
      </c>
      <c r="L214" s="5" t="s">
        <v>46</v>
      </c>
      <c r="M214" s="5" t="s">
        <v>22</v>
      </c>
      <c r="N214" s="8">
        <f t="shared" si="101"/>
        <v>0</v>
      </c>
      <c r="O214" s="5">
        <v>0</v>
      </c>
      <c r="P214" s="5">
        <v>0</v>
      </c>
      <c r="Q214" s="5" t="s">
        <v>23</v>
      </c>
      <c r="R214" s="5" t="s">
        <v>23</v>
      </c>
      <c r="S214" s="5" t="s">
        <v>23</v>
      </c>
      <c r="T214" s="5" t="s">
        <v>46</v>
      </c>
      <c r="U214" s="5" t="s">
        <v>46</v>
      </c>
      <c r="V214" s="5" t="s">
        <v>46</v>
      </c>
      <c r="W214" s="5">
        <v>0</v>
      </c>
      <c r="X214" s="10" t="s">
        <v>77</v>
      </c>
      <c r="Y214" s="10"/>
      <c r="Z214" s="10"/>
      <c r="AB214" s="2" t="str">
        <f t="shared" si="99"/>
        <v xml:space="preserve">/*14*/{" ","","","","",false,false,false,false,10.0,0,0,0,0.0,0.0,0.0,false,false,false,0},//. </v>
      </c>
      <c r="AD214" s="12" t="str">
        <f t="shared" si="93"/>
        <v/>
      </c>
      <c r="AE214" s="12" t="str">
        <f t="shared" si="94"/>
        <v/>
      </c>
      <c r="AH214" s="12" t="str">
        <f t="shared" si="95"/>
        <v/>
      </c>
      <c r="AI214" s="12" t="str">
        <f t="shared" si="96"/>
        <v/>
      </c>
      <c r="AJ214" s="12" t="str">
        <f t="shared" si="97"/>
        <v/>
      </c>
    </row>
    <row r="215" spans="1:36" x14ac:dyDescent="0.25">
      <c r="A215" s="17">
        <f t="shared" si="98"/>
        <v>15</v>
      </c>
      <c r="B215" s="8" t="s">
        <v>41</v>
      </c>
      <c r="C215" s="4" t="s">
        <v>24</v>
      </c>
      <c r="D215" s="5" t="s">
        <v>0</v>
      </c>
      <c r="E215" s="5"/>
      <c r="F215" s="5" t="s">
        <v>1</v>
      </c>
      <c r="G215" s="5" t="s">
        <v>1</v>
      </c>
      <c r="H215" s="17" t="str">
        <f t="shared" si="100"/>
        <v>""</v>
      </c>
      <c r="I215" s="5" t="s">
        <v>46</v>
      </c>
      <c r="J215" s="5" t="s">
        <v>46</v>
      </c>
      <c r="K215" s="5" t="s">
        <v>46</v>
      </c>
      <c r="L215" s="5" t="s">
        <v>46</v>
      </c>
      <c r="M215" s="5" t="s">
        <v>22</v>
      </c>
      <c r="N215" s="8">
        <f t="shared" si="101"/>
        <v>0</v>
      </c>
      <c r="O215" s="5">
        <v>0</v>
      </c>
      <c r="P215" s="5">
        <v>0</v>
      </c>
      <c r="Q215" s="5" t="s">
        <v>23</v>
      </c>
      <c r="R215" s="5" t="s">
        <v>23</v>
      </c>
      <c r="S215" s="5" t="s">
        <v>23</v>
      </c>
      <c r="T215" s="5" t="s">
        <v>46</v>
      </c>
      <c r="U215" s="5" t="s">
        <v>46</v>
      </c>
      <c r="V215" s="5" t="s">
        <v>46</v>
      </c>
      <c r="W215" s="5">
        <v>0</v>
      </c>
      <c r="X215" s="10" t="s">
        <v>77</v>
      </c>
      <c r="Y215" s="10"/>
      <c r="Z215" s="10"/>
      <c r="AB215" s="2" t="str">
        <f t="shared" si="99"/>
        <v xml:space="preserve">/*15*/{" ","","","","",false,false,false,false,10.0,0,0,0,0.0,0.0,0.0,false,false,false,0},//. </v>
      </c>
      <c r="AD215" s="12" t="str">
        <f t="shared" si="93"/>
        <v/>
      </c>
      <c r="AE215" s="12" t="str">
        <f t="shared" si="94"/>
        <v/>
      </c>
      <c r="AH215" s="12" t="str">
        <f t="shared" si="95"/>
        <v/>
      </c>
      <c r="AI215" s="12" t="str">
        <f t="shared" si="96"/>
        <v/>
      </c>
      <c r="AJ215" s="12" t="str">
        <f t="shared" si="97"/>
        <v/>
      </c>
    </row>
    <row r="216" spans="1:36" x14ac:dyDescent="0.25">
      <c r="A216" s="17">
        <f t="shared" si="98"/>
        <v>16</v>
      </c>
      <c r="B216" s="8" t="s">
        <v>42</v>
      </c>
      <c r="C216" s="4" t="s">
        <v>24</v>
      </c>
      <c r="D216" s="5" t="s">
        <v>0</v>
      </c>
      <c r="E216" s="5"/>
      <c r="F216" s="5" t="s">
        <v>1</v>
      </c>
      <c r="G216" s="5" t="s">
        <v>1</v>
      </c>
      <c r="H216" s="17" t="str">
        <f t="shared" si="100"/>
        <v>""</v>
      </c>
      <c r="I216" s="5" t="s">
        <v>46</v>
      </c>
      <c r="J216" s="5" t="s">
        <v>46</v>
      </c>
      <c r="K216" s="5" t="s">
        <v>46</v>
      </c>
      <c r="L216" s="5" t="s">
        <v>46</v>
      </c>
      <c r="M216" s="5" t="s">
        <v>22</v>
      </c>
      <c r="N216" s="8">
        <f t="shared" si="101"/>
        <v>0</v>
      </c>
      <c r="O216" s="5">
        <v>0</v>
      </c>
      <c r="P216" s="5">
        <v>0</v>
      </c>
      <c r="Q216" s="5" t="s">
        <v>23</v>
      </c>
      <c r="R216" s="5" t="s">
        <v>23</v>
      </c>
      <c r="S216" s="5" t="s">
        <v>23</v>
      </c>
      <c r="T216" s="5" t="s">
        <v>46</v>
      </c>
      <c r="U216" s="5" t="s">
        <v>46</v>
      </c>
      <c r="V216" s="5" t="s">
        <v>46</v>
      </c>
      <c r="W216" s="5">
        <v>0</v>
      </c>
      <c r="X216" s="10" t="s">
        <v>77</v>
      </c>
      <c r="Y216" s="10"/>
      <c r="Z216" s="10"/>
      <c r="AB216" s="2" t="str">
        <f t="shared" si="99"/>
        <v xml:space="preserve">/*16*/{" ","","","","",false,false,false,false,10.0,0,0,0,0.0,0.0,0.0,false,false,false,0},//. </v>
      </c>
      <c r="AD216" s="12" t="str">
        <f t="shared" si="93"/>
        <v/>
      </c>
      <c r="AE216" s="12" t="str">
        <f t="shared" si="94"/>
        <v/>
      </c>
      <c r="AH216" s="12" t="str">
        <f t="shared" si="95"/>
        <v/>
      </c>
      <c r="AI216" s="12" t="str">
        <f t="shared" si="96"/>
        <v/>
      </c>
      <c r="AJ216" s="12" t="str">
        <f t="shared" si="97"/>
        <v/>
      </c>
    </row>
    <row r="217" spans="1:36" x14ac:dyDescent="0.25">
      <c r="A217" s="17">
        <f t="shared" si="98"/>
        <v>17</v>
      </c>
      <c r="B217" s="8" t="s">
        <v>43</v>
      </c>
      <c r="C217" s="4" t="s">
        <v>24</v>
      </c>
      <c r="D217" s="5" t="s">
        <v>0</v>
      </c>
      <c r="E217" s="5"/>
      <c r="F217" s="5" t="s">
        <v>1</v>
      </c>
      <c r="G217" s="5" t="s">
        <v>1</v>
      </c>
      <c r="H217" s="17" t="str">
        <f t="shared" si="100"/>
        <v>""</v>
      </c>
      <c r="I217" s="5" t="s">
        <v>46</v>
      </c>
      <c r="J217" s="5" t="s">
        <v>46</v>
      </c>
      <c r="K217" s="5" t="s">
        <v>46</v>
      </c>
      <c r="L217" s="5" t="s">
        <v>46</v>
      </c>
      <c r="M217" s="5" t="s">
        <v>22</v>
      </c>
      <c r="N217" s="8">
        <f t="shared" si="101"/>
        <v>0</v>
      </c>
      <c r="O217" s="5">
        <v>0</v>
      </c>
      <c r="P217" s="5">
        <v>0</v>
      </c>
      <c r="Q217" s="5" t="s">
        <v>23</v>
      </c>
      <c r="R217" s="5" t="s">
        <v>23</v>
      </c>
      <c r="S217" s="5" t="s">
        <v>23</v>
      </c>
      <c r="T217" s="5" t="s">
        <v>46</v>
      </c>
      <c r="U217" s="5" t="s">
        <v>46</v>
      </c>
      <c r="V217" s="5" t="s">
        <v>46</v>
      </c>
      <c r="W217" s="5">
        <v>0</v>
      </c>
      <c r="X217" s="10" t="s">
        <v>77</v>
      </c>
      <c r="Y217" s="10"/>
      <c r="Z217" s="10"/>
      <c r="AB217" s="2" t="str">
        <f t="shared" si="99"/>
        <v xml:space="preserve">/*17*/{" ","","","","",false,false,false,false,10.0,0,0,0,0.0,0.0,0.0,false,false,false,0},//. </v>
      </c>
      <c r="AD217" s="12" t="str">
        <f t="shared" si="93"/>
        <v/>
      </c>
      <c r="AE217" s="12" t="str">
        <f t="shared" si="94"/>
        <v/>
      </c>
      <c r="AH217" s="12" t="str">
        <f t="shared" si="95"/>
        <v/>
      </c>
      <c r="AI217" s="12" t="str">
        <f t="shared" si="96"/>
        <v/>
      </c>
      <c r="AJ217" s="12" t="str">
        <f t="shared" si="97"/>
        <v/>
      </c>
    </row>
    <row r="218" spans="1:36" x14ac:dyDescent="0.25">
      <c r="A218" s="17">
        <f t="shared" si="98"/>
        <v>18</v>
      </c>
      <c r="B218" s="8" t="s">
        <v>44</v>
      </c>
      <c r="C218" s="4" t="s">
        <v>24</v>
      </c>
      <c r="D218" s="5" t="s">
        <v>0</v>
      </c>
      <c r="E218" s="5"/>
      <c r="F218" s="5" t="s">
        <v>1</v>
      </c>
      <c r="G218" s="5" t="s">
        <v>1</v>
      </c>
      <c r="H218" s="17" t="str">
        <f t="shared" si="100"/>
        <v>""</v>
      </c>
      <c r="I218" s="5" t="s">
        <v>46</v>
      </c>
      <c r="J218" s="5" t="s">
        <v>46</v>
      </c>
      <c r="K218" s="5" t="s">
        <v>46</v>
      </c>
      <c r="L218" s="5" t="s">
        <v>46</v>
      </c>
      <c r="M218" s="5" t="s">
        <v>22</v>
      </c>
      <c r="N218" s="8">
        <f t="shared" si="101"/>
        <v>0</v>
      </c>
      <c r="O218" s="5">
        <v>0</v>
      </c>
      <c r="P218" s="5">
        <v>0</v>
      </c>
      <c r="Q218" s="5" t="s">
        <v>23</v>
      </c>
      <c r="R218" s="5" t="s">
        <v>23</v>
      </c>
      <c r="S218" s="5" t="s">
        <v>23</v>
      </c>
      <c r="T218" s="5" t="s">
        <v>46</v>
      </c>
      <c r="U218" s="5" t="s">
        <v>46</v>
      </c>
      <c r="V218" s="5" t="s">
        <v>46</v>
      </c>
      <c r="W218" s="5">
        <v>0</v>
      </c>
      <c r="X218" s="10" t="s">
        <v>77</v>
      </c>
      <c r="Y218" s="10"/>
      <c r="Z218" s="10"/>
      <c r="AB218" s="2" t="str">
        <f t="shared" si="99"/>
        <v xml:space="preserve">/*18*/{" ","","","","",false,false,false,false,10.0,0,0,0,0.0,0.0,0.0,false,false,false,0},//. </v>
      </c>
      <c r="AD218" s="12" t="str">
        <f t="shared" si="93"/>
        <v/>
      </c>
      <c r="AE218" s="12" t="str">
        <f t="shared" si="94"/>
        <v/>
      </c>
      <c r="AH218" s="12" t="str">
        <f t="shared" si="95"/>
        <v/>
      </c>
      <c r="AI218" s="12" t="str">
        <f t="shared" si="96"/>
        <v/>
      </c>
      <c r="AJ218" s="12" t="str">
        <f t="shared" si="97"/>
        <v/>
      </c>
    </row>
    <row r="219" spans="1:36" x14ac:dyDescent="0.25">
      <c r="A219" s="17">
        <f t="shared" si="98"/>
        <v>19</v>
      </c>
      <c r="B219" s="8" t="s">
        <v>45</v>
      </c>
      <c r="C219" s="4" t="s">
        <v>24</v>
      </c>
      <c r="D219" s="5" t="s">
        <v>0</v>
      </c>
      <c r="E219" s="5"/>
      <c r="F219" s="5" t="s">
        <v>1</v>
      </c>
      <c r="G219" s="5" t="s">
        <v>1</v>
      </c>
      <c r="H219" s="17" t="str">
        <f t="shared" si="100"/>
        <v>""</v>
      </c>
      <c r="I219" s="5" t="s">
        <v>46</v>
      </c>
      <c r="J219" s="5" t="s">
        <v>46</v>
      </c>
      <c r="K219" s="5" t="s">
        <v>46</v>
      </c>
      <c r="L219" s="5" t="s">
        <v>46</v>
      </c>
      <c r="M219" s="5" t="s">
        <v>22</v>
      </c>
      <c r="N219" s="8">
        <f t="shared" si="101"/>
        <v>0</v>
      </c>
      <c r="O219" s="5">
        <v>0</v>
      </c>
      <c r="P219" s="5">
        <v>0</v>
      </c>
      <c r="Q219" s="5" t="s">
        <v>23</v>
      </c>
      <c r="R219" s="5" t="s">
        <v>23</v>
      </c>
      <c r="S219" s="5" t="s">
        <v>23</v>
      </c>
      <c r="T219" s="5" t="s">
        <v>46</v>
      </c>
      <c r="U219" s="5" t="s">
        <v>46</v>
      </c>
      <c r="V219" s="5" t="s">
        <v>46</v>
      </c>
      <c r="W219" s="5">
        <v>0</v>
      </c>
      <c r="X219" s="10" t="s">
        <v>77</v>
      </c>
      <c r="Y219" s="10"/>
      <c r="Z219" s="10"/>
      <c r="AB219" s="2" t="str">
        <f t="shared" si="99"/>
        <v xml:space="preserve">/*19*/{" ","","","","",false,false,false,false,10.0,0,0,0,0.0,0.0,0.0,false,false,false,0},//. </v>
      </c>
      <c r="AD219" s="12" t="str">
        <f>IF(X219="Да",CONCATENATE("float &amp;",SUBSTITUTE(Z219," ","")," = Screens[",$A$197,"][",A219,"].Param;// Ссылка. ",$Y$200,". ",Y219),"")</f>
        <v/>
      </c>
      <c r="AE219" s="12" t="str">
        <f t="shared" si="94"/>
        <v/>
      </c>
      <c r="AH219" s="12" t="str">
        <f>IF(X219="Да",CONCATENATE("Ref.",,SUBSTITUTE(Z219," ","")," = ",$AI$1,$B$197,SUBSTITUTE(E219," ",""),";//",$Y$200,". ",Y219),"")</f>
        <v/>
      </c>
      <c r="AI219" s="12" t="str">
        <f t="shared" si="96"/>
        <v/>
      </c>
      <c r="AJ219" s="12" t="str">
        <f>IF(X219="Да",CONCATENATE($AI$1,SUBSTITUTE(Z219," ","")," = ",M219,";//",$Y$200,". ",Y219),"")</f>
        <v/>
      </c>
    </row>
    <row r="220" spans="1:36" x14ac:dyDescent="0.25">
      <c r="AB220" s="3" t="s">
        <v>25</v>
      </c>
    </row>
    <row r="221" spans="1:36" x14ac:dyDescent="0.25">
      <c r="A221" s="14">
        <f>A197+1</f>
        <v>9</v>
      </c>
      <c r="B221" s="7">
        <f>E224</f>
        <v>0</v>
      </c>
      <c r="D221" s="7" t="s">
        <v>63</v>
      </c>
      <c r="AB221" s="3" t="s">
        <v>51</v>
      </c>
    </row>
    <row r="222" spans="1:36" ht="45" x14ac:dyDescent="0.25">
      <c r="A222" s="15" t="s">
        <v>78</v>
      </c>
      <c r="B222" s="18"/>
      <c r="C222" s="6" t="s">
        <v>25</v>
      </c>
      <c r="D222" s="6" t="s">
        <v>17</v>
      </c>
      <c r="E222" s="6" t="s">
        <v>18</v>
      </c>
      <c r="F222" s="6" t="s">
        <v>19</v>
      </c>
      <c r="G222" s="6" t="s">
        <v>20</v>
      </c>
      <c r="H222" s="6" t="s">
        <v>21</v>
      </c>
      <c r="I222" s="6" t="s">
        <v>2</v>
      </c>
      <c r="J222" s="6" t="s">
        <v>3</v>
      </c>
      <c r="K222" s="6" t="s">
        <v>4</v>
      </c>
      <c r="L222" s="6" t="s">
        <v>5</v>
      </c>
      <c r="M222" s="6" t="s">
        <v>6</v>
      </c>
      <c r="N222" s="6" t="s">
        <v>7</v>
      </c>
      <c r="O222" s="6" t="s">
        <v>8</v>
      </c>
      <c r="P222" s="6" t="s">
        <v>9</v>
      </c>
      <c r="Q222" s="6" t="s">
        <v>10</v>
      </c>
      <c r="R222" s="6" t="s">
        <v>11</v>
      </c>
      <c r="S222" s="6" t="s">
        <v>12</v>
      </c>
      <c r="T222" s="6" t="s">
        <v>13</v>
      </c>
      <c r="U222" s="6" t="s">
        <v>14</v>
      </c>
      <c r="V222" s="6" t="s">
        <v>15</v>
      </c>
      <c r="W222" s="6" t="s">
        <v>16</v>
      </c>
      <c r="X222" s="6" t="s">
        <v>76</v>
      </c>
      <c r="Y222" s="6" t="s">
        <v>80</v>
      </c>
      <c r="Z222" s="6" t="s">
        <v>97</v>
      </c>
      <c r="AA222" s="1"/>
      <c r="AB222" s="2" t="str">
        <f>CONCATENATE(D221," - ",E224)</f>
        <v xml:space="preserve">//Экран 9 - </v>
      </c>
    </row>
    <row r="223" spans="1:36" x14ac:dyDescent="0.25">
      <c r="A223" s="16"/>
      <c r="B223" s="13"/>
      <c r="C223" s="4" t="s">
        <v>24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11"/>
      <c r="Y223" s="11"/>
      <c r="Z223" s="11"/>
      <c r="AA223" s="1"/>
      <c r="AB223" s="3" t="str">
        <f>C223</f>
        <v>{</v>
      </c>
    </row>
    <row r="224" spans="1:36" x14ac:dyDescent="0.25">
      <c r="A224" s="17">
        <v>0</v>
      </c>
      <c r="B224" s="8" t="s">
        <v>27</v>
      </c>
      <c r="C224" s="4" t="s">
        <v>24</v>
      </c>
      <c r="D224" s="5" t="s">
        <v>0</v>
      </c>
      <c r="E224" s="5"/>
      <c r="F224" s="5" t="s">
        <v>1</v>
      </c>
      <c r="G224" s="5" t="s">
        <v>1</v>
      </c>
      <c r="H224" s="17" t="str">
        <f t="shared" ref="H224:H243" si="102">IF(AND(I224="true",J224="false"),""" ""","""""")</f>
        <v>""</v>
      </c>
      <c r="I224" s="5" t="s">
        <v>46</v>
      </c>
      <c r="J224" s="5" t="s">
        <v>46</v>
      </c>
      <c r="K224" s="5" t="s">
        <v>46</v>
      </c>
      <c r="L224" s="5" t="s">
        <v>46</v>
      </c>
      <c r="M224" s="5" t="s">
        <v>22</v>
      </c>
      <c r="N224" s="8">
        <v>1</v>
      </c>
      <c r="O224" s="5">
        <v>0</v>
      </c>
      <c r="P224" s="5">
        <v>0</v>
      </c>
      <c r="Q224" s="5" t="s">
        <v>48</v>
      </c>
      <c r="R224" s="5" t="s">
        <v>23</v>
      </c>
      <c r="S224" s="5" t="s">
        <v>49</v>
      </c>
      <c r="T224" s="5" t="s">
        <v>46</v>
      </c>
      <c r="U224" s="5" t="s">
        <v>46</v>
      </c>
      <c r="V224" s="5" t="s">
        <v>46</v>
      </c>
      <c r="W224" s="5">
        <v>0</v>
      </c>
      <c r="X224" s="10" t="s">
        <v>77</v>
      </c>
      <c r="Y224" s="10"/>
      <c r="Z224" s="10"/>
      <c r="AB224" s="2" t="str">
        <f>CONCATENATE(B224,C224,D224,",""",E224,""",",F224,",",G224,",",H224,",",I224,",",J224,",",K224,",",L224,",",M224,",",N224,",",O224,",",P224,",",Q224,",",R224,",",S224,",",T224,",",U224,",",V224,",",W224,"},//",Y224)</f>
        <v>/*0*/{" ","","","","",false,false,false,false,10.0,1,0,0,100.0,0.0,0.1,false,false,false,0},//</v>
      </c>
      <c r="AD224" s="12" t="str">
        <f t="shared" ref="AD224:AD242" si="103">IF(X224="Да",IF(T224="false",CONCATENATE("float &amp;",SUBSTITUTE(Z224," ","")," = Screens[",$A$221,"][",A224,"].Param;// Ссылка. ",$Y$32,". ",Y224),CONCATENATE("bool &amp;",SUBSTITUTE(Z224," ","")," = Screens[",$A$221,"][",A224,"].BoolParam;// Ссылка. ",$Y$32,". ",Y224)),"")</f>
        <v/>
      </c>
      <c r="AE224" s="12" t="str">
        <f t="shared" ref="AE224:AE242" si="104">IF(X224="Да",IF(T224="false",CONCATENATE("float ",SUBSTITUTE(Z224," ","")," = Screens[",$A$221,"][",A224,"].Param;//",$Y$32,". ",Y224),CONCATENATE("bool ",SUBSTITUTE(Z224," ","")," = Screens[",$A$221,"][",A224,"].BoolParam;//",$Y$32,". ",Y224)),"")</f>
        <v/>
      </c>
      <c r="AH224" s="12" t="str">
        <f t="shared" ref="AH224:AH242" si="105">IF(X224="Да",CONCATENATE("Ref.",,SUBSTITUTE(Z224," ","")," = ",$AI$1,SUBSTITUTE(Z224," ",""),";//",$Y$32,". ",Y224),"")</f>
        <v/>
      </c>
      <c r="AI224" s="12" t="str">
        <f t="shared" ref="AI224:AI243" si="106">IF(X224="Да",CONCATENATE($AI$1,SUBSTITUTE(Z224," ","")," = Ref.",SUBSTITUTE(Z224," ",""),";//",$Y$32,". ",Y224),"")</f>
        <v/>
      </c>
      <c r="AJ224" s="12" t="str">
        <f t="shared" ref="AJ224:AJ242" si="107">IF(X224="Да",IF(T224="false",CONCATENATE($AI$1,SUBSTITUTE(Z224," ","")," = ",M224,";//",$Y$32,". ",Y224),CONCATENATE($AI$1,SUBSTITUTE(Z224," ","")," = ",U224,";//",$Y$32,". ",Y224)),"")</f>
        <v/>
      </c>
    </row>
    <row r="225" spans="1:36" x14ac:dyDescent="0.25">
      <c r="A225" s="17">
        <f>A224+1</f>
        <v>1</v>
      </c>
      <c r="B225" s="8" t="s">
        <v>26</v>
      </c>
      <c r="C225" s="4" t="s">
        <v>24</v>
      </c>
      <c r="D225" s="5" t="s">
        <v>0</v>
      </c>
      <c r="E225" s="5"/>
      <c r="F225" s="5" t="s">
        <v>1</v>
      </c>
      <c r="G225" s="5" t="s">
        <v>1</v>
      </c>
      <c r="H225" s="17" t="str">
        <f t="shared" si="102"/>
        <v>""</v>
      </c>
      <c r="I225" s="5" t="s">
        <v>46</v>
      </c>
      <c r="J225" s="5" t="s">
        <v>46</v>
      </c>
      <c r="K225" s="5" t="s">
        <v>46</v>
      </c>
      <c r="L225" s="5" t="s">
        <v>46</v>
      </c>
      <c r="M225" s="5" t="s">
        <v>22</v>
      </c>
      <c r="N225" s="8">
        <f>N224</f>
        <v>1</v>
      </c>
      <c r="O225" s="5">
        <v>0</v>
      </c>
      <c r="P225" s="5">
        <v>0</v>
      </c>
      <c r="Q225" s="5" t="s">
        <v>23</v>
      </c>
      <c r="R225" s="5" t="s">
        <v>23</v>
      </c>
      <c r="S225" s="5" t="s">
        <v>23</v>
      </c>
      <c r="T225" s="5" t="s">
        <v>46</v>
      </c>
      <c r="U225" s="5" t="s">
        <v>46</v>
      </c>
      <c r="V225" s="5" t="s">
        <v>46</v>
      </c>
      <c r="W225" s="5">
        <v>0</v>
      </c>
      <c r="X225" s="10" t="s">
        <v>77</v>
      </c>
      <c r="Y225" s="10"/>
      <c r="Z225" s="10"/>
      <c r="AB225" s="2" t="str">
        <f>CONCATENATE(B225,C225,D225,",""",E225,""",",F225,",",G225,",",H225,",",I225,",",J225,",",K225,",",L225,",",M225,",",N225,",",O225,",",P225,",",Q225,",",R225,",",S225,",",T225,",",U225,",",V225,",",W225,"},//",Y$225,". ",Y225)</f>
        <v xml:space="preserve">/*1*/{" ","","","","",false,false,false,false,10.0,1,0,0,0.0,0.0,0.0,false,false,false,0},//. </v>
      </c>
      <c r="AD225" s="12" t="str">
        <f t="shared" si="103"/>
        <v/>
      </c>
      <c r="AE225" s="12" t="str">
        <f t="shared" si="104"/>
        <v/>
      </c>
      <c r="AH225" s="12" t="str">
        <f t="shared" si="105"/>
        <v/>
      </c>
      <c r="AI225" s="12" t="str">
        <f t="shared" si="106"/>
        <v/>
      </c>
      <c r="AJ225" s="12" t="str">
        <f t="shared" si="107"/>
        <v/>
      </c>
    </row>
    <row r="226" spans="1:36" x14ac:dyDescent="0.25">
      <c r="A226" s="17">
        <f t="shared" ref="A226:A243" si="108">A225+1</f>
        <v>2</v>
      </c>
      <c r="B226" s="8" t="s">
        <v>28</v>
      </c>
      <c r="C226" s="4" t="s">
        <v>24</v>
      </c>
      <c r="D226" s="5" t="s">
        <v>0</v>
      </c>
      <c r="E226" s="5"/>
      <c r="F226" s="5" t="s">
        <v>1</v>
      </c>
      <c r="G226" s="5" t="s">
        <v>1</v>
      </c>
      <c r="H226" s="17" t="str">
        <f t="shared" si="102"/>
        <v>""</v>
      </c>
      <c r="I226" s="5" t="s">
        <v>46</v>
      </c>
      <c r="J226" s="5" t="s">
        <v>46</v>
      </c>
      <c r="K226" s="5" t="s">
        <v>46</v>
      </c>
      <c r="L226" s="5" t="s">
        <v>46</v>
      </c>
      <c r="M226" s="5" t="s">
        <v>22</v>
      </c>
      <c r="N226" s="8">
        <f t="shared" ref="N226:N243" si="109">N225</f>
        <v>1</v>
      </c>
      <c r="O226" s="5">
        <v>0</v>
      </c>
      <c r="P226" s="5">
        <v>0</v>
      </c>
      <c r="Q226" s="5" t="s">
        <v>23</v>
      </c>
      <c r="R226" s="5" t="s">
        <v>23</v>
      </c>
      <c r="S226" s="5" t="s">
        <v>23</v>
      </c>
      <c r="T226" s="5" t="s">
        <v>46</v>
      </c>
      <c r="U226" s="5" t="s">
        <v>46</v>
      </c>
      <c r="V226" s="5" t="s">
        <v>46</v>
      </c>
      <c r="W226" s="5">
        <v>0</v>
      </c>
      <c r="X226" s="10" t="s">
        <v>77</v>
      </c>
      <c r="Y226" s="10"/>
      <c r="Z226" s="10"/>
      <c r="AB226" s="2" t="str">
        <f t="shared" ref="AB226:AB243" si="110">CONCATENATE(B226,C226,D226,",""",E226,""",",F226,",",G226,",",H226,",",I226,",",J226,",",K226,",",L226,",",M226,",",N226,",",O226,",",P226,",",Q226,",",R226,",",S226,",",T226,",",U226,",",V226,",",W226,"},//",Y$225,". ",Y226)</f>
        <v xml:space="preserve">/*2*/{" ","","","","",false,false,false,false,10.0,1,0,0,0.0,0.0,0.0,false,false,false,0},//. </v>
      </c>
      <c r="AD226" s="12" t="str">
        <f t="shared" si="103"/>
        <v/>
      </c>
      <c r="AE226" s="12" t="str">
        <f t="shared" si="104"/>
        <v/>
      </c>
      <c r="AH226" s="12" t="str">
        <f t="shared" si="105"/>
        <v/>
      </c>
      <c r="AI226" s="12" t="str">
        <f t="shared" si="106"/>
        <v/>
      </c>
      <c r="AJ226" s="12" t="str">
        <f t="shared" si="107"/>
        <v/>
      </c>
    </row>
    <row r="227" spans="1:36" x14ac:dyDescent="0.25">
      <c r="A227" s="17">
        <f t="shared" si="108"/>
        <v>3</v>
      </c>
      <c r="B227" s="8" t="s">
        <v>29</v>
      </c>
      <c r="C227" s="4" t="s">
        <v>24</v>
      </c>
      <c r="D227" s="5" t="s">
        <v>0</v>
      </c>
      <c r="E227" s="5"/>
      <c r="F227" s="5" t="s">
        <v>1</v>
      </c>
      <c r="G227" s="5" t="s">
        <v>1</v>
      </c>
      <c r="H227" s="17" t="str">
        <f t="shared" si="102"/>
        <v>""</v>
      </c>
      <c r="I227" s="5" t="s">
        <v>46</v>
      </c>
      <c r="J227" s="5" t="s">
        <v>46</v>
      </c>
      <c r="K227" s="5" t="s">
        <v>46</v>
      </c>
      <c r="L227" s="5" t="s">
        <v>46</v>
      </c>
      <c r="M227" s="5" t="s">
        <v>22</v>
      </c>
      <c r="N227" s="8">
        <f t="shared" si="109"/>
        <v>1</v>
      </c>
      <c r="O227" s="5">
        <v>2</v>
      </c>
      <c r="P227" s="5">
        <v>0</v>
      </c>
      <c r="Q227" s="5" t="s">
        <v>23</v>
      </c>
      <c r="R227" s="5" t="s">
        <v>23</v>
      </c>
      <c r="S227" s="5" t="s">
        <v>23</v>
      </c>
      <c r="T227" s="5" t="s">
        <v>46</v>
      </c>
      <c r="U227" s="5" t="s">
        <v>46</v>
      </c>
      <c r="V227" s="5" t="s">
        <v>46</v>
      </c>
      <c r="W227" s="5">
        <v>0</v>
      </c>
      <c r="X227" s="10" t="s">
        <v>77</v>
      </c>
      <c r="Y227" s="10"/>
      <c r="Z227" s="10"/>
      <c r="AB227" s="2" t="str">
        <f t="shared" si="110"/>
        <v xml:space="preserve">/*3*/{" ","","","","",false,false,false,false,10.0,1,2,0,0.0,0.0,0.0,false,false,false,0},//. </v>
      </c>
      <c r="AD227" s="12" t="str">
        <f t="shared" si="103"/>
        <v/>
      </c>
      <c r="AE227" s="12" t="str">
        <f t="shared" si="104"/>
        <v/>
      </c>
      <c r="AH227" s="12" t="str">
        <f t="shared" si="105"/>
        <v/>
      </c>
      <c r="AI227" s="12" t="str">
        <f t="shared" si="106"/>
        <v/>
      </c>
      <c r="AJ227" s="12" t="str">
        <f t="shared" si="107"/>
        <v/>
      </c>
    </row>
    <row r="228" spans="1:36" x14ac:dyDescent="0.25">
      <c r="A228" s="17">
        <f t="shared" si="108"/>
        <v>4</v>
      </c>
      <c r="B228" s="8" t="s">
        <v>30</v>
      </c>
      <c r="C228" s="4" t="s">
        <v>24</v>
      </c>
      <c r="D228" s="5" t="s">
        <v>0</v>
      </c>
      <c r="E228" s="5"/>
      <c r="F228" s="5" t="s">
        <v>1</v>
      </c>
      <c r="G228" s="5" t="s">
        <v>1</v>
      </c>
      <c r="H228" s="17" t="str">
        <f t="shared" si="102"/>
        <v>""</v>
      </c>
      <c r="I228" s="5" t="s">
        <v>46</v>
      </c>
      <c r="J228" s="5" t="s">
        <v>46</v>
      </c>
      <c r="K228" s="5" t="s">
        <v>46</v>
      </c>
      <c r="L228" s="5" t="s">
        <v>46</v>
      </c>
      <c r="M228" s="5" t="s">
        <v>22</v>
      </c>
      <c r="N228" s="8">
        <f t="shared" si="109"/>
        <v>1</v>
      </c>
      <c r="O228" s="5">
        <v>0</v>
      </c>
      <c r="P228" s="5">
        <v>0</v>
      </c>
      <c r="Q228" s="5" t="s">
        <v>23</v>
      </c>
      <c r="R228" s="5" t="s">
        <v>23</v>
      </c>
      <c r="S228" s="5" t="s">
        <v>23</v>
      </c>
      <c r="T228" s="5" t="s">
        <v>46</v>
      </c>
      <c r="U228" s="5" t="s">
        <v>46</v>
      </c>
      <c r="V228" s="5" t="s">
        <v>46</v>
      </c>
      <c r="W228" s="5">
        <v>0</v>
      </c>
      <c r="X228" s="10" t="s">
        <v>77</v>
      </c>
      <c r="Y228" s="10"/>
      <c r="Z228" s="10"/>
      <c r="AB228" s="2" t="str">
        <f t="shared" si="110"/>
        <v xml:space="preserve">/*4*/{" ","","","","",false,false,false,false,10.0,1,0,0,0.0,0.0,0.0,false,false,false,0},//. </v>
      </c>
      <c r="AD228" s="12" t="str">
        <f t="shared" si="103"/>
        <v/>
      </c>
      <c r="AE228" s="12" t="str">
        <f t="shared" si="104"/>
        <v/>
      </c>
      <c r="AH228" s="12" t="str">
        <f t="shared" si="105"/>
        <v/>
      </c>
      <c r="AI228" s="12" t="str">
        <f t="shared" si="106"/>
        <v/>
      </c>
      <c r="AJ228" s="12" t="str">
        <f t="shared" si="107"/>
        <v/>
      </c>
    </row>
    <row r="229" spans="1:36" x14ac:dyDescent="0.25">
      <c r="A229" s="17">
        <f t="shared" si="108"/>
        <v>5</v>
      </c>
      <c r="B229" s="8" t="s">
        <v>31</v>
      </c>
      <c r="C229" s="4" t="s">
        <v>24</v>
      </c>
      <c r="D229" s="5" t="s">
        <v>0</v>
      </c>
      <c r="E229" s="5"/>
      <c r="F229" s="5" t="s">
        <v>1</v>
      </c>
      <c r="G229" s="5" t="s">
        <v>1</v>
      </c>
      <c r="H229" s="17" t="str">
        <f t="shared" si="102"/>
        <v>""</v>
      </c>
      <c r="I229" s="5" t="s">
        <v>46</v>
      </c>
      <c r="J229" s="5" t="s">
        <v>46</v>
      </c>
      <c r="K229" s="5" t="s">
        <v>46</v>
      </c>
      <c r="L229" s="5" t="s">
        <v>46</v>
      </c>
      <c r="M229" s="5" t="s">
        <v>22</v>
      </c>
      <c r="N229" s="8">
        <f t="shared" si="109"/>
        <v>1</v>
      </c>
      <c r="O229" s="5">
        <v>0</v>
      </c>
      <c r="P229" s="5">
        <v>0</v>
      </c>
      <c r="Q229" s="5" t="s">
        <v>23</v>
      </c>
      <c r="R229" s="5" t="s">
        <v>23</v>
      </c>
      <c r="S229" s="5" t="s">
        <v>23</v>
      </c>
      <c r="T229" s="5" t="s">
        <v>46</v>
      </c>
      <c r="U229" s="5" t="s">
        <v>46</v>
      </c>
      <c r="V229" s="5" t="s">
        <v>46</v>
      </c>
      <c r="W229" s="5">
        <v>0</v>
      </c>
      <c r="X229" s="10" t="s">
        <v>77</v>
      </c>
      <c r="Y229" s="10"/>
      <c r="Z229" s="10"/>
      <c r="AB229" s="2" t="str">
        <f t="shared" si="110"/>
        <v xml:space="preserve">/*5*/{" ","","","","",false,false,false,false,10.0,1,0,0,0.0,0.0,0.0,false,false,false,0},//. </v>
      </c>
      <c r="AD229" s="12" t="str">
        <f t="shared" si="103"/>
        <v/>
      </c>
      <c r="AE229" s="12" t="str">
        <f t="shared" si="104"/>
        <v/>
      </c>
      <c r="AH229" s="12" t="str">
        <f t="shared" si="105"/>
        <v/>
      </c>
      <c r="AI229" s="12" t="str">
        <f t="shared" si="106"/>
        <v/>
      </c>
      <c r="AJ229" s="12" t="str">
        <f t="shared" si="107"/>
        <v/>
      </c>
    </row>
    <row r="230" spans="1:36" x14ac:dyDescent="0.25">
      <c r="A230" s="17">
        <f t="shared" si="108"/>
        <v>6</v>
      </c>
      <c r="B230" s="8" t="s">
        <v>32</v>
      </c>
      <c r="C230" s="4" t="s">
        <v>24</v>
      </c>
      <c r="D230" s="5" t="s">
        <v>0</v>
      </c>
      <c r="E230" s="5"/>
      <c r="F230" s="5" t="s">
        <v>1</v>
      </c>
      <c r="G230" s="5" t="s">
        <v>1</v>
      </c>
      <c r="H230" s="17" t="str">
        <f t="shared" si="102"/>
        <v>""</v>
      </c>
      <c r="I230" s="5" t="s">
        <v>46</v>
      </c>
      <c r="J230" s="5" t="s">
        <v>46</v>
      </c>
      <c r="K230" s="5" t="s">
        <v>46</v>
      </c>
      <c r="L230" s="5" t="s">
        <v>46</v>
      </c>
      <c r="M230" s="5" t="s">
        <v>22</v>
      </c>
      <c r="N230" s="8">
        <f t="shared" si="109"/>
        <v>1</v>
      </c>
      <c r="O230" s="5">
        <v>0</v>
      </c>
      <c r="P230" s="5">
        <v>0</v>
      </c>
      <c r="Q230" s="5" t="s">
        <v>23</v>
      </c>
      <c r="R230" s="5" t="s">
        <v>23</v>
      </c>
      <c r="S230" s="5" t="s">
        <v>23</v>
      </c>
      <c r="T230" s="5" t="s">
        <v>46</v>
      </c>
      <c r="U230" s="5" t="s">
        <v>46</v>
      </c>
      <c r="V230" s="5" t="s">
        <v>46</v>
      </c>
      <c r="W230" s="5">
        <v>0</v>
      </c>
      <c r="X230" s="10" t="s">
        <v>77</v>
      </c>
      <c r="Y230" s="10"/>
      <c r="Z230" s="10"/>
      <c r="AB230" s="2" t="str">
        <f t="shared" si="110"/>
        <v xml:space="preserve">/*6*/{" ","","","","",false,false,false,false,10.0,1,0,0,0.0,0.0,0.0,false,false,false,0},//. </v>
      </c>
      <c r="AD230" s="12" t="str">
        <f t="shared" si="103"/>
        <v/>
      </c>
      <c r="AE230" s="12" t="str">
        <f t="shared" si="104"/>
        <v/>
      </c>
      <c r="AH230" s="12" t="str">
        <f t="shared" si="105"/>
        <v/>
      </c>
      <c r="AI230" s="12" t="str">
        <f t="shared" si="106"/>
        <v/>
      </c>
      <c r="AJ230" s="12" t="str">
        <f t="shared" si="107"/>
        <v/>
      </c>
    </row>
    <row r="231" spans="1:36" x14ac:dyDescent="0.25">
      <c r="A231" s="17">
        <f t="shared" si="108"/>
        <v>7</v>
      </c>
      <c r="B231" s="8" t="s">
        <v>33</v>
      </c>
      <c r="C231" s="4" t="s">
        <v>24</v>
      </c>
      <c r="D231" s="5" t="s">
        <v>0</v>
      </c>
      <c r="E231" s="5"/>
      <c r="F231" s="5" t="s">
        <v>1</v>
      </c>
      <c r="G231" s="5" t="s">
        <v>1</v>
      </c>
      <c r="H231" s="17" t="str">
        <f t="shared" si="102"/>
        <v>""</v>
      </c>
      <c r="I231" s="5" t="s">
        <v>46</v>
      </c>
      <c r="J231" s="5" t="s">
        <v>46</v>
      </c>
      <c r="K231" s="5" t="s">
        <v>46</v>
      </c>
      <c r="L231" s="5" t="s">
        <v>46</v>
      </c>
      <c r="M231" s="5" t="s">
        <v>22</v>
      </c>
      <c r="N231" s="8">
        <f t="shared" si="109"/>
        <v>1</v>
      </c>
      <c r="O231" s="5">
        <v>0</v>
      </c>
      <c r="P231" s="5">
        <v>0</v>
      </c>
      <c r="Q231" s="5" t="s">
        <v>23</v>
      </c>
      <c r="R231" s="5" t="s">
        <v>23</v>
      </c>
      <c r="S231" s="5" t="s">
        <v>23</v>
      </c>
      <c r="T231" s="5" t="s">
        <v>46</v>
      </c>
      <c r="U231" s="5" t="s">
        <v>46</v>
      </c>
      <c r="V231" s="5" t="s">
        <v>46</v>
      </c>
      <c r="W231" s="5">
        <v>0</v>
      </c>
      <c r="X231" s="10" t="s">
        <v>77</v>
      </c>
      <c r="Y231" s="10"/>
      <c r="Z231" s="10"/>
      <c r="AB231" s="2" t="str">
        <f t="shared" si="110"/>
        <v xml:space="preserve">/*7*/{" ","","","","",false,false,false,false,10.0,1,0,0,0.0,0.0,0.0,false,false,false,0},//. </v>
      </c>
      <c r="AD231" s="12" t="str">
        <f t="shared" si="103"/>
        <v/>
      </c>
      <c r="AE231" s="12" t="str">
        <f t="shared" si="104"/>
        <v/>
      </c>
      <c r="AH231" s="12" t="str">
        <f t="shared" si="105"/>
        <v/>
      </c>
      <c r="AI231" s="12" t="str">
        <f t="shared" si="106"/>
        <v/>
      </c>
      <c r="AJ231" s="12" t="str">
        <f t="shared" si="107"/>
        <v/>
      </c>
    </row>
    <row r="232" spans="1:36" x14ac:dyDescent="0.25">
      <c r="A232" s="17">
        <f t="shared" si="108"/>
        <v>8</v>
      </c>
      <c r="B232" s="8" t="s">
        <v>34</v>
      </c>
      <c r="C232" s="4" t="s">
        <v>24</v>
      </c>
      <c r="D232" s="5" t="s">
        <v>0</v>
      </c>
      <c r="E232" s="5"/>
      <c r="F232" s="5" t="s">
        <v>1</v>
      </c>
      <c r="G232" s="5" t="s">
        <v>1</v>
      </c>
      <c r="H232" s="17" t="str">
        <f t="shared" si="102"/>
        <v>""</v>
      </c>
      <c r="I232" s="5" t="s">
        <v>46</v>
      </c>
      <c r="J232" s="5" t="s">
        <v>46</v>
      </c>
      <c r="K232" s="5" t="s">
        <v>46</v>
      </c>
      <c r="L232" s="5" t="s">
        <v>46</v>
      </c>
      <c r="M232" s="5" t="s">
        <v>22</v>
      </c>
      <c r="N232" s="8">
        <f t="shared" si="109"/>
        <v>1</v>
      </c>
      <c r="O232" s="5">
        <v>0</v>
      </c>
      <c r="P232" s="5">
        <v>0</v>
      </c>
      <c r="Q232" s="5" t="s">
        <v>23</v>
      </c>
      <c r="R232" s="5" t="s">
        <v>23</v>
      </c>
      <c r="S232" s="5" t="s">
        <v>23</v>
      </c>
      <c r="T232" s="5" t="s">
        <v>46</v>
      </c>
      <c r="U232" s="5" t="s">
        <v>46</v>
      </c>
      <c r="V232" s="5" t="s">
        <v>46</v>
      </c>
      <c r="W232" s="5">
        <v>0</v>
      </c>
      <c r="X232" s="10" t="s">
        <v>77</v>
      </c>
      <c r="Y232" s="10"/>
      <c r="Z232" s="10"/>
      <c r="AB232" s="2" t="str">
        <f t="shared" si="110"/>
        <v xml:space="preserve">/*8*/{" ","","","","",false,false,false,false,10.0,1,0,0,0.0,0.0,0.0,false,false,false,0},//. </v>
      </c>
      <c r="AD232" s="12" t="str">
        <f t="shared" si="103"/>
        <v/>
      </c>
      <c r="AE232" s="12" t="str">
        <f t="shared" si="104"/>
        <v/>
      </c>
      <c r="AH232" s="12" t="str">
        <f t="shared" si="105"/>
        <v/>
      </c>
      <c r="AI232" s="12" t="str">
        <f t="shared" si="106"/>
        <v/>
      </c>
      <c r="AJ232" s="12" t="str">
        <f t="shared" si="107"/>
        <v/>
      </c>
    </row>
    <row r="233" spans="1:36" x14ac:dyDescent="0.25">
      <c r="A233" s="17">
        <f t="shared" si="108"/>
        <v>9</v>
      </c>
      <c r="B233" s="8" t="s">
        <v>35</v>
      </c>
      <c r="C233" s="4" t="s">
        <v>24</v>
      </c>
      <c r="D233" s="5" t="s">
        <v>0</v>
      </c>
      <c r="E233" s="5"/>
      <c r="F233" s="5" t="s">
        <v>1</v>
      </c>
      <c r="G233" s="5" t="s">
        <v>1</v>
      </c>
      <c r="H233" s="17" t="str">
        <f t="shared" si="102"/>
        <v>""</v>
      </c>
      <c r="I233" s="5" t="s">
        <v>46</v>
      </c>
      <c r="J233" s="5" t="s">
        <v>46</v>
      </c>
      <c r="K233" s="5" t="s">
        <v>46</v>
      </c>
      <c r="L233" s="5" t="s">
        <v>46</v>
      </c>
      <c r="M233" s="5" t="s">
        <v>22</v>
      </c>
      <c r="N233" s="8">
        <f t="shared" si="109"/>
        <v>1</v>
      </c>
      <c r="O233" s="5">
        <v>0</v>
      </c>
      <c r="P233" s="5">
        <v>0</v>
      </c>
      <c r="Q233" s="5" t="s">
        <v>23</v>
      </c>
      <c r="R233" s="5" t="s">
        <v>23</v>
      </c>
      <c r="S233" s="5" t="s">
        <v>23</v>
      </c>
      <c r="T233" s="5" t="s">
        <v>46</v>
      </c>
      <c r="U233" s="5" t="s">
        <v>46</v>
      </c>
      <c r="V233" s="5" t="s">
        <v>46</v>
      </c>
      <c r="W233" s="5">
        <v>0</v>
      </c>
      <c r="X233" s="10" t="s">
        <v>77</v>
      </c>
      <c r="Y233" s="10"/>
      <c r="Z233" s="10"/>
      <c r="AB233" s="2" t="str">
        <f t="shared" si="110"/>
        <v xml:space="preserve">/*9*/{" ","","","","",false,false,false,false,10.0,1,0,0,0.0,0.0,0.0,false,false,false,0},//. </v>
      </c>
      <c r="AD233" s="12" t="str">
        <f t="shared" si="103"/>
        <v/>
      </c>
      <c r="AE233" s="12" t="str">
        <f t="shared" si="104"/>
        <v/>
      </c>
      <c r="AH233" s="12" t="str">
        <f t="shared" si="105"/>
        <v/>
      </c>
      <c r="AI233" s="12" t="str">
        <f t="shared" si="106"/>
        <v/>
      </c>
      <c r="AJ233" s="12" t="str">
        <f t="shared" si="107"/>
        <v/>
      </c>
    </row>
    <row r="234" spans="1:36" x14ac:dyDescent="0.25">
      <c r="A234" s="17">
        <f t="shared" si="108"/>
        <v>10</v>
      </c>
      <c r="B234" s="8" t="s">
        <v>36</v>
      </c>
      <c r="C234" s="4" t="s">
        <v>24</v>
      </c>
      <c r="D234" s="5" t="s">
        <v>0</v>
      </c>
      <c r="E234" s="5"/>
      <c r="F234" s="5" t="s">
        <v>1</v>
      </c>
      <c r="G234" s="5" t="s">
        <v>1</v>
      </c>
      <c r="H234" s="17" t="str">
        <f t="shared" si="102"/>
        <v>""</v>
      </c>
      <c r="I234" s="5" t="s">
        <v>46</v>
      </c>
      <c r="J234" s="5" t="s">
        <v>46</v>
      </c>
      <c r="K234" s="5" t="s">
        <v>46</v>
      </c>
      <c r="L234" s="5" t="s">
        <v>46</v>
      </c>
      <c r="M234" s="5" t="s">
        <v>22</v>
      </c>
      <c r="N234" s="8">
        <f t="shared" si="109"/>
        <v>1</v>
      </c>
      <c r="O234" s="5">
        <v>0</v>
      </c>
      <c r="P234" s="5">
        <v>0</v>
      </c>
      <c r="Q234" s="5" t="s">
        <v>23</v>
      </c>
      <c r="R234" s="5" t="s">
        <v>23</v>
      </c>
      <c r="S234" s="5" t="s">
        <v>23</v>
      </c>
      <c r="T234" s="5" t="s">
        <v>46</v>
      </c>
      <c r="U234" s="5" t="s">
        <v>46</v>
      </c>
      <c r="V234" s="5" t="s">
        <v>46</v>
      </c>
      <c r="W234" s="5">
        <v>0</v>
      </c>
      <c r="X234" s="10" t="s">
        <v>77</v>
      </c>
      <c r="Y234" s="10"/>
      <c r="Z234" s="10"/>
      <c r="AB234" s="2" t="str">
        <f t="shared" si="110"/>
        <v xml:space="preserve">/*10*/{" ","","","","",false,false,false,false,10.0,1,0,0,0.0,0.0,0.0,false,false,false,0},//. </v>
      </c>
      <c r="AD234" s="12" t="str">
        <f t="shared" si="103"/>
        <v/>
      </c>
      <c r="AE234" s="12" t="str">
        <f t="shared" si="104"/>
        <v/>
      </c>
      <c r="AH234" s="12" t="str">
        <f t="shared" si="105"/>
        <v/>
      </c>
      <c r="AI234" s="12" t="str">
        <f t="shared" si="106"/>
        <v/>
      </c>
      <c r="AJ234" s="12" t="str">
        <f t="shared" si="107"/>
        <v/>
      </c>
    </row>
    <row r="235" spans="1:36" x14ac:dyDescent="0.25">
      <c r="A235" s="17">
        <f t="shared" si="108"/>
        <v>11</v>
      </c>
      <c r="B235" s="8" t="s">
        <v>37</v>
      </c>
      <c r="C235" s="4" t="s">
        <v>24</v>
      </c>
      <c r="D235" s="5" t="s">
        <v>0</v>
      </c>
      <c r="E235" s="5"/>
      <c r="F235" s="5" t="s">
        <v>1</v>
      </c>
      <c r="G235" s="5" t="s">
        <v>1</v>
      </c>
      <c r="H235" s="17" t="str">
        <f t="shared" si="102"/>
        <v>""</v>
      </c>
      <c r="I235" s="5" t="s">
        <v>46</v>
      </c>
      <c r="J235" s="5" t="s">
        <v>46</v>
      </c>
      <c r="K235" s="5" t="s">
        <v>46</v>
      </c>
      <c r="L235" s="5" t="s">
        <v>46</v>
      </c>
      <c r="M235" s="5" t="s">
        <v>22</v>
      </c>
      <c r="N235" s="8">
        <f t="shared" si="109"/>
        <v>1</v>
      </c>
      <c r="O235" s="5">
        <v>0</v>
      </c>
      <c r="P235" s="5">
        <v>0</v>
      </c>
      <c r="Q235" s="5" t="s">
        <v>23</v>
      </c>
      <c r="R235" s="5" t="s">
        <v>23</v>
      </c>
      <c r="S235" s="5" t="s">
        <v>23</v>
      </c>
      <c r="T235" s="5" t="s">
        <v>46</v>
      </c>
      <c r="U235" s="5" t="s">
        <v>46</v>
      </c>
      <c r="V235" s="5" t="s">
        <v>46</v>
      </c>
      <c r="W235" s="5">
        <v>0</v>
      </c>
      <c r="X235" s="10" t="s">
        <v>77</v>
      </c>
      <c r="Y235" s="10"/>
      <c r="Z235" s="10"/>
      <c r="AB235" s="2" t="str">
        <f t="shared" si="110"/>
        <v xml:space="preserve">/*11*/{" ","","","","",false,false,false,false,10.0,1,0,0,0.0,0.0,0.0,false,false,false,0},//. </v>
      </c>
      <c r="AD235" s="12" t="str">
        <f t="shared" si="103"/>
        <v/>
      </c>
      <c r="AE235" s="12" t="str">
        <f t="shared" si="104"/>
        <v/>
      </c>
      <c r="AH235" s="12" t="str">
        <f t="shared" si="105"/>
        <v/>
      </c>
      <c r="AI235" s="12" t="str">
        <f t="shared" si="106"/>
        <v/>
      </c>
      <c r="AJ235" s="12" t="str">
        <f t="shared" si="107"/>
        <v/>
      </c>
    </row>
    <row r="236" spans="1:36" x14ac:dyDescent="0.25">
      <c r="A236" s="17">
        <f t="shared" si="108"/>
        <v>12</v>
      </c>
      <c r="B236" s="8" t="s">
        <v>38</v>
      </c>
      <c r="C236" s="4" t="s">
        <v>24</v>
      </c>
      <c r="D236" s="5" t="s">
        <v>0</v>
      </c>
      <c r="E236" s="5"/>
      <c r="F236" s="5" t="s">
        <v>1</v>
      </c>
      <c r="G236" s="5" t="s">
        <v>1</v>
      </c>
      <c r="H236" s="17" t="str">
        <f t="shared" si="102"/>
        <v>""</v>
      </c>
      <c r="I236" s="5" t="s">
        <v>46</v>
      </c>
      <c r="J236" s="5" t="s">
        <v>46</v>
      </c>
      <c r="K236" s="5" t="s">
        <v>46</v>
      </c>
      <c r="L236" s="5" t="s">
        <v>46</v>
      </c>
      <c r="M236" s="5" t="s">
        <v>22</v>
      </c>
      <c r="N236" s="8">
        <f t="shared" si="109"/>
        <v>1</v>
      </c>
      <c r="O236" s="5">
        <v>0</v>
      </c>
      <c r="P236" s="5">
        <v>0</v>
      </c>
      <c r="Q236" s="5" t="s">
        <v>23</v>
      </c>
      <c r="R236" s="5" t="s">
        <v>23</v>
      </c>
      <c r="S236" s="5" t="s">
        <v>23</v>
      </c>
      <c r="T236" s="5" t="s">
        <v>46</v>
      </c>
      <c r="U236" s="5" t="s">
        <v>46</v>
      </c>
      <c r="V236" s="5" t="s">
        <v>46</v>
      </c>
      <c r="W236" s="5">
        <v>0</v>
      </c>
      <c r="X236" s="10" t="s">
        <v>77</v>
      </c>
      <c r="Y236" s="10"/>
      <c r="Z236" s="10"/>
      <c r="AB236" s="2" t="str">
        <f t="shared" si="110"/>
        <v xml:space="preserve">/*12*/{" ","","","","",false,false,false,false,10.0,1,0,0,0.0,0.0,0.0,false,false,false,0},//. </v>
      </c>
      <c r="AD236" s="12" t="str">
        <f t="shared" si="103"/>
        <v/>
      </c>
      <c r="AE236" s="12" t="str">
        <f t="shared" si="104"/>
        <v/>
      </c>
      <c r="AH236" s="12" t="str">
        <f t="shared" si="105"/>
        <v/>
      </c>
      <c r="AI236" s="12" t="str">
        <f t="shared" si="106"/>
        <v/>
      </c>
      <c r="AJ236" s="12" t="str">
        <f t="shared" si="107"/>
        <v/>
      </c>
    </row>
    <row r="237" spans="1:36" x14ac:dyDescent="0.25">
      <c r="A237" s="17">
        <f t="shared" si="108"/>
        <v>13</v>
      </c>
      <c r="B237" s="8" t="s">
        <v>39</v>
      </c>
      <c r="C237" s="4" t="s">
        <v>24</v>
      </c>
      <c r="D237" s="5" t="s">
        <v>0</v>
      </c>
      <c r="E237" s="5"/>
      <c r="F237" s="5" t="s">
        <v>1</v>
      </c>
      <c r="G237" s="5" t="s">
        <v>1</v>
      </c>
      <c r="H237" s="17" t="str">
        <f t="shared" si="102"/>
        <v>""</v>
      </c>
      <c r="I237" s="5" t="s">
        <v>46</v>
      </c>
      <c r="J237" s="5" t="s">
        <v>46</v>
      </c>
      <c r="K237" s="5" t="s">
        <v>46</v>
      </c>
      <c r="L237" s="5" t="s">
        <v>46</v>
      </c>
      <c r="M237" s="5" t="s">
        <v>22</v>
      </c>
      <c r="N237" s="8">
        <f t="shared" si="109"/>
        <v>1</v>
      </c>
      <c r="O237" s="5">
        <v>0</v>
      </c>
      <c r="P237" s="5">
        <v>0</v>
      </c>
      <c r="Q237" s="5" t="s">
        <v>23</v>
      </c>
      <c r="R237" s="5" t="s">
        <v>23</v>
      </c>
      <c r="S237" s="5" t="s">
        <v>23</v>
      </c>
      <c r="T237" s="5" t="s">
        <v>46</v>
      </c>
      <c r="U237" s="5" t="s">
        <v>46</v>
      </c>
      <c r="V237" s="5" t="s">
        <v>46</v>
      </c>
      <c r="W237" s="5">
        <v>0</v>
      </c>
      <c r="X237" s="10" t="s">
        <v>77</v>
      </c>
      <c r="Y237" s="10"/>
      <c r="Z237" s="10"/>
      <c r="AB237" s="2" t="str">
        <f t="shared" si="110"/>
        <v xml:space="preserve">/*13*/{" ","","","","",false,false,false,false,10.0,1,0,0,0.0,0.0,0.0,false,false,false,0},//. </v>
      </c>
      <c r="AD237" s="12" t="str">
        <f t="shared" si="103"/>
        <v/>
      </c>
      <c r="AE237" s="12" t="str">
        <f t="shared" si="104"/>
        <v/>
      </c>
      <c r="AH237" s="12" t="str">
        <f t="shared" si="105"/>
        <v/>
      </c>
      <c r="AI237" s="12" t="str">
        <f t="shared" si="106"/>
        <v/>
      </c>
      <c r="AJ237" s="12" t="str">
        <f t="shared" si="107"/>
        <v/>
      </c>
    </row>
    <row r="238" spans="1:36" x14ac:dyDescent="0.25">
      <c r="A238" s="17">
        <f t="shared" si="108"/>
        <v>14</v>
      </c>
      <c r="B238" s="8" t="s">
        <v>40</v>
      </c>
      <c r="C238" s="4" t="s">
        <v>24</v>
      </c>
      <c r="D238" s="5" t="s">
        <v>0</v>
      </c>
      <c r="E238" s="5"/>
      <c r="F238" s="5" t="s">
        <v>1</v>
      </c>
      <c r="G238" s="5" t="s">
        <v>1</v>
      </c>
      <c r="H238" s="17" t="str">
        <f t="shared" si="102"/>
        <v>""</v>
      </c>
      <c r="I238" s="5" t="s">
        <v>46</v>
      </c>
      <c r="J238" s="5" t="s">
        <v>46</v>
      </c>
      <c r="K238" s="5" t="s">
        <v>46</v>
      </c>
      <c r="L238" s="5" t="s">
        <v>46</v>
      </c>
      <c r="M238" s="5" t="s">
        <v>22</v>
      </c>
      <c r="N238" s="8">
        <f t="shared" si="109"/>
        <v>1</v>
      </c>
      <c r="O238" s="5">
        <v>0</v>
      </c>
      <c r="P238" s="5">
        <v>0</v>
      </c>
      <c r="Q238" s="5" t="s">
        <v>23</v>
      </c>
      <c r="R238" s="5" t="s">
        <v>23</v>
      </c>
      <c r="S238" s="5" t="s">
        <v>23</v>
      </c>
      <c r="T238" s="5" t="s">
        <v>46</v>
      </c>
      <c r="U238" s="5" t="s">
        <v>46</v>
      </c>
      <c r="V238" s="5" t="s">
        <v>46</v>
      </c>
      <c r="W238" s="5">
        <v>0</v>
      </c>
      <c r="X238" s="10" t="s">
        <v>77</v>
      </c>
      <c r="Y238" s="10"/>
      <c r="Z238" s="10"/>
      <c r="AB238" s="2" t="str">
        <f t="shared" si="110"/>
        <v xml:space="preserve">/*14*/{" ","","","","",false,false,false,false,10.0,1,0,0,0.0,0.0,0.0,false,false,false,0},//. </v>
      </c>
      <c r="AD238" s="12" t="str">
        <f t="shared" si="103"/>
        <v/>
      </c>
      <c r="AE238" s="12" t="str">
        <f t="shared" si="104"/>
        <v/>
      </c>
      <c r="AH238" s="12" t="str">
        <f t="shared" si="105"/>
        <v/>
      </c>
      <c r="AI238" s="12" t="str">
        <f t="shared" si="106"/>
        <v/>
      </c>
      <c r="AJ238" s="12" t="str">
        <f t="shared" si="107"/>
        <v/>
      </c>
    </row>
    <row r="239" spans="1:36" x14ac:dyDescent="0.25">
      <c r="A239" s="17">
        <f t="shared" si="108"/>
        <v>15</v>
      </c>
      <c r="B239" s="8" t="s">
        <v>41</v>
      </c>
      <c r="C239" s="4" t="s">
        <v>24</v>
      </c>
      <c r="D239" s="5" t="s">
        <v>0</v>
      </c>
      <c r="E239" s="5"/>
      <c r="F239" s="5" t="s">
        <v>1</v>
      </c>
      <c r="G239" s="5" t="s">
        <v>1</v>
      </c>
      <c r="H239" s="17" t="str">
        <f t="shared" si="102"/>
        <v>""</v>
      </c>
      <c r="I239" s="5" t="s">
        <v>46</v>
      </c>
      <c r="J239" s="5" t="s">
        <v>46</v>
      </c>
      <c r="K239" s="5" t="s">
        <v>46</v>
      </c>
      <c r="L239" s="5" t="s">
        <v>46</v>
      </c>
      <c r="M239" s="5" t="s">
        <v>22</v>
      </c>
      <c r="N239" s="8">
        <f t="shared" si="109"/>
        <v>1</v>
      </c>
      <c r="O239" s="5">
        <v>0</v>
      </c>
      <c r="P239" s="5">
        <v>0</v>
      </c>
      <c r="Q239" s="5" t="s">
        <v>23</v>
      </c>
      <c r="R239" s="5" t="s">
        <v>23</v>
      </c>
      <c r="S239" s="5" t="s">
        <v>23</v>
      </c>
      <c r="T239" s="5" t="s">
        <v>46</v>
      </c>
      <c r="U239" s="5" t="s">
        <v>46</v>
      </c>
      <c r="V239" s="5" t="s">
        <v>46</v>
      </c>
      <c r="W239" s="5">
        <v>0</v>
      </c>
      <c r="X239" s="10" t="s">
        <v>77</v>
      </c>
      <c r="Y239" s="10"/>
      <c r="Z239" s="10"/>
      <c r="AB239" s="2" t="str">
        <f t="shared" si="110"/>
        <v xml:space="preserve">/*15*/{" ","","","","",false,false,false,false,10.0,1,0,0,0.0,0.0,0.0,false,false,false,0},//. </v>
      </c>
      <c r="AD239" s="12" t="str">
        <f t="shared" si="103"/>
        <v/>
      </c>
      <c r="AE239" s="12" t="str">
        <f t="shared" si="104"/>
        <v/>
      </c>
      <c r="AH239" s="12" t="str">
        <f t="shared" si="105"/>
        <v/>
      </c>
      <c r="AI239" s="12" t="str">
        <f t="shared" si="106"/>
        <v/>
      </c>
      <c r="AJ239" s="12" t="str">
        <f t="shared" si="107"/>
        <v/>
      </c>
    </row>
    <row r="240" spans="1:36" x14ac:dyDescent="0.25">
      <c r="A240" s="17">
        <f t="shared" si="108"/>
        <v>16</v>
      </c>
      <c r="B240" s="8" t="s">
        <v>42</v>
      </c>
      <c r="C240" s="4" t="s">
        <v>24</v>
      </c>
      <c r="D240" s="5" t="s">
        <v>0</v>
      </c>
      <c r="E240" s="5"/>
      <c r="F240" s="5" t="s">
        <v>1</v>
      </c>
      <c r="G240" s="5" t="s">
        <v>1</v>
      </c>
      <c r="H240" s="17" t="str">
        <f t="shared" si="102"/>
        <v>""</v>
      </c>
      <c r="I240" s="5" t="s">
        <v>46</v>
      </c>
      <c r="J240" s="5" t="s">
        <v>46</v>
      </c>
      <c r="K240" s="5" t="s">
        <v>46</v>
      </c>
      <c r="L240" s="5" t="s">
        <v>46</v>
      </c>
      <c r="M240" s="5" t="s">
        <v>22</v>
      </c>
      <c r="N240" s="8">
        <f t="shared" si="109"/>
        <v>1</v>
      </c>
      <c r="O240" s="5">
        <v>0</v>
      </c>
      <c r="P240" s="5">
        <v>0</v>
      </c>
      <c r="Q240" s="5" t="s">
        <v>23</v>
      </c>
      <c r="R240" s="5" t="s">
        <v>23</v>
      </c>
      <c r="S240" s="5" t="s">
        <v>23</v>
      </c>
      <c r="T240" s="5" t="s">
        <v>46</v>
      </c>
      <c r="U240" s="5" t="s">
        <v>46</v>
      </c>
      <c r="V240" s="5" t="s">
        <v>46</v>
      </c>
      <c r="W240" s="5">
        <v>0</v>
      </c>
      <c r="X240" s="10" t="s">
        <v>77</v>
      </c>
      <c r="Y240" s="10"/>
      <c r="Z240" s="10"/>
      <c r="AB240" s="2" t="str">
        <f t="shared" si="110"/>
        <v xml:space="preserve">/*16*/{" ","","","","",false,false,false,false,10.0,1,0,0,0.0,0.0,0.0,false,false,false,0},//. </v>
      </c>
      <c r="AD240" s="12" t="str">
        <f t="shared" si="103"/>
        <v/>
      </c>
      <c r="AE240" s="12" t="str">
        <f t="shared" si="104"/>
        <v/>
      </c>
      <c r="AH240" s="12" t="str">
        <f t="shared" si="105"/>
        <v/>
      </c>
      <c r="AI240" s="12" t="str">
        <f t="shared" si="106"/>
        <v/>
      </c>
      <c r="AJ240" s="12" t="str">
        <f t="shared" si="107"/>
        <v/>
      </c>
    </row>
    <row r="241" spans="1:36" x14ac:dyDescent="0.25">
      <c r="A241" s="17">
        <f t="shared" si="108"/>
        <v>17</v>
      </c>
      <c r="B241" s="8" t="s">
        <v>43</v>
      </c>
      <c r="C241" s="4" t="s">
        <v>24</v>
      </c>
      <c r="D241" s="5" t="s">
        <v>0</v>
      </c>
      <c r="E241" s="5"/>
      <c r="F241" s="5" t="s">
        <v>1</v>
      </c>
      <c r="G241" s="5" t="s">
        <v>1</v>
      </c>
      <c r="H241" s="17" t="str">
        <f t="shared" si="102"/>
        <v>""</v>
      </c>
      <c r="I241" s="5" t="s">
        <v>46</v>
      </c>
      <c r="J241" s="5" t="s">
        <v>46</v>
      </c>
      <c r="K241" s="5" t="s">
        <v>46</v>
      </c>
      <c r="L241" s="5" t="s">
        <v>46</v>
      </c>
      <c r="M241" s="5" t="s">
        <v>22</v>
      </c>
      <c r="N241" s="8">
        <f t="shared" si="109"/>
        <v>1</v>
      </c>
      <c r="O241" s="5">
        <v>0</v>
      </c>
      <c r="P241" s="5">
        <v>0</v>
      </c>
      <c r="Q241" s="5" t="s">
        <v>23</v>
      </c>
      <c r="R241" s="5" t="s">
        <v>23</v>
      </c>
      <c r="S241" s="5" t="s">
        <v>23</v>
      </c>
      <c r="T241" s="5" t="s">
        <v>46</v>
      </c>
      <c r="U241" s="5" t="s">
        <v>46</v>
      </c>
      <c r="V241" s="5" t="s">
        <v>46</v>
      </c>
      <c r="W241" s="5">
        <v>0</v>
      </c>
      <c r="X241" s="10" t="s">
        <v>77</v>
      </c>
      <c r="Y241" s="10"/>
      <c r="Z241" s="10"/>
      <c r="AB241" s="2" t="str">
        <f t="shared" si="110"/>
        <v xml:space="preserve">/*17*/{" ","","","","",false,false,false,false,10.0,1,0,0,0.0,0.0,0.0,false,false,false,0},//. </v>
      </c>
      <c r="AD241" s="12" t="str">
        <f t="shared" si="103"/>
        <v/>
      </c>
      <c r="AE241" s="12" t="str">
        <f t="shared" si="104"/>
        <v/>
      </c>
      <c r="AH241" s="12" t="str">
        <f t="shared" si="105"/>
        <v/>
      </c>
      <c r="AI241" s="12" t="str">
        <f t="shared" si="106"/>
        <v/>
      </c>
      <c r="AJ241" s="12" t="str">
        <f t="shared" si="107"/>
        <v/>
      </c>
    </row>
    <row r="242" spans="1:36" x14ac:dyDescent="0.25">
      <c r="A242" s="17">
        <f t="shared" si="108"/>
        <v>18</v>
      </c>
      <c r="B242" s="8" t="s">
        <v>44</v>
      </c>
      <c r="C242" s="4" t="s">
        <v>24</v>
      </c>
      <c r="D242" s="5" t="s">
        <v>0</v>
      </c>
      <c r="E242" s="5"/>
      <c r="F242" s="5" t="s">
        <v>1</v>
      </c>
      <c r="G242" s="5" t="s">
        <v>1</v>
      </c>
      <c r="H242" s="17" t="str">
        <f t="shared" si="102"/>
        <v>""</v>
      </c>
      <c r="I242" s="5" t="s">
        <v>46</v>
      </c>
      <c r="J242" s="5" t="s">
        <v>46</v>
      </c>
      <c r="K242" s="5" t="s">
        <v>46</v>
      </c>
      <c r="L242" s="5" t="s">
        <v>46</v>
      </c>
      <c r="M242" s="5" t="s">
        <v>22</v>
      </c>
      <c r="N242" s="8">
        <f t="shared" si="109"/>
        <v>1</v>
      </c>
      <c r="O242" s="5">
        <v>0</v>
      </c>
      <c r="P242" s="5">
        <v>0</v>
      </c>
      <c r="Q242" s="5" t="s">
        <v>23</v>
      </c>
      <c r="R242" s="5" t="s">
        <v>23</v>
      </c>
      <c r="S242" s="5" t="s">
        <v>23</v>
      </c>
      <c r="T242" s="5" t="s">
        <v>46</v>
      </c>
      <c r="U242" s="5" t="s">
        <v>46</v>
      </c>
      <c r="V242" s="5" t="s">
        <v>46</v>
      </c>
      <c r="W242" s="5">
        <v>0</v>
      </c>
      <c r="X242" s="10" t="s">
        <v>77</v>
      </c>
      <c r="Y242" s="10"/>
      <c r="Z242" s="10"/>
      <c r="AB242" s="2" t="str">
        <f t="shared" si="110"/>
        <v xml:space="preserve">/*18*/{" ","","","","",false,false,false,false,10.0,1,0,0,0.0,0.0,0.0,false,false,false,0},//. </v>
      </c>
      <c r="AD242" s="12" t="str">
        <f t="shared" si="103"/>
        <v/>
      </c>
      <c r="AE242" s="12" t="str">
        <f t="shared" si="104"/>
        <v/>
      </c>
      <c r="AH242" s="12" t="str">
        <f t="shared" si="105"/>
        <v/>
      </c>
      <c r="AI242" s="12" t="str">
        <f t="shared" si="106"/>
        <v/>
      </c>
      <c r="AJ242" s="12" t="str">
        <f t="shared" si="107"/>
        <v/>
      </c>
    </row>
    <row r="243" spans="1:36" x14ac:dyDescent="0.25">
      <c r="A243" s="17">
        <f t="shared" si="108"/>
        <v>19</v>
      </c>
      <c r="B243" s="8" t="s">
        <v>45</v>
      </c>
      <c r="C243" s="4" t="s">
        <v>24</v>
      </c>
      <c r="D243" s="5" t="s">
        <v>0</v>
      </c>
      <c r="E243" s="5"/>
      <c r="F243" s="5" t="s">
        <v>1</v>
      </c>
      <c r="G243" s="5" t="s">
        <v>1</v>
      </c>
      <c r="H243" s="17" t="str">
        <f t="shared" si="102"/>
        <v>""</v>
      </c>
      <c r="I243" s="5" t="s">
        <v>46</v>
      </c>
      <c r="J243" s="5" t="s">
        <v>46</v>
      </c>
      <c r="K243" s="5" t="s">
        <v>46</v>
      </c>
      <c r="L243" s="5" t="s">
        <v>46</v>
      </c>
      <c r="M243" s="5" t="s">
        <v>22</v>
      </c>
      <c r="N243" s="8">
        <f t="shared" si="109"/>
        <v>1</v>
      </c>
      <c r="O243" s="5">
        <v>0</v>
      </c>
      <c r="P243" s="5">
        <v>0</v>
      </c>
      <c r="Q243" s="5" t="s">
        <v>23</v>
      </c>
      <c r="R243" s="5" t="s">
        <v>23</v>
      </c>
      <c r="S243" s="5" t="s">
        <v>23</v>
      </c>
      <c r="T243" s="5" t="s">
        <v>46</v>
      </c>
      <c r="U243" s="5" t="s">
        <v>46</v>
      </c>
      <c r="V243" s="5" t="s">
        <v>46</v>
      </c>
      <c r="W243" s="5">
        <v>0</v>
      </c>
      <c r="X243" s="10" t="s">
        <v>77</v>
      </c>
      <c r="Y243" s="10"/>
      <c r="Z243" s="10"/>
      <c r="AB243" s="2" t="str">
        <f t="shared" si="110"/>
        <v xml:space="preserve">/*19*/{" ","","","","",false,false,false,false,10.0,1,0,0,0.0,0.0,0.0,false,false,false,0},//. </v>
      </c>
      <c r="AD243" s="12" t="str">
        <f>IF(X243="Да",CONCATENATE("float &amp;",SUBSTITUTE(Z243," ","")," = Screens[",$A$221,"][",A243,"].Param;// Ссылка. ",$Y$32,". ",Y243),"")</f>
        <v/>
      </c>
      <c r="AE243" s="12" t="str">
        <f>IF(X243="Да",CONCATENATE("float ",SUBSTITUTE(Z243," ","")," = Screens[",$A$221,"][",A243,"].Param;//",$Y$32,". ",Y243),"")</f>
        <v/>
      </c>
      <c r="AH243" s="12" t="str">
        <f>IF(X243="Да",CONCATENATE("Ref.",,SUBSTITUTE(Z243," ","")," = ",$AI$1,$B$221,SUBSTITUTE(E243," ",""),";//",$Y$32,". ",Y243),"")</f>
        <v/>
      </c>
      <c r="AI243" s="12" t="str">
        <f t="shared" si="106"/>
        <v/>
      </c>
      <c r="AJ243" s="12" t="str">
        <f t="shared" ref="AJ243" si="111">IF(X243="Да",CONCATENATE($AI$1,SUBSTITUTE(Z243," ","")," = ",M243,";//",$Y$32,". ",Y243),"")</f>
        <v/>
      </c>
    </row>
    <row r="244" spans="1:36" x14ac:dyDescent="0.25">
      <c r="AB244" s="3" t="s">
        <v>25</v>
      </c>
    </row>
    <row r="245" spans="1:36" x14ac:dyDescent="0.25">
      <c r="A245" s="14">
        <f>A221+1</f>
        <v>10</v>
      </c>
      <c r="D245" s="7" t="s">
        <v>64</v>
      </c>
      <c r="AB245" s="3" t="s">
        <v>51</v>
      </c>
    </row>
    <row r="246" spans="1:36" ht="45" x14ac:dyDescent="0.25">
      <c r="A246" s="15" t="s">
        <v>78</v>
      </c>
      <c r="B246" s="18"/>
      <c r="C246" s="6" t="s">
        <v>25</v>
      </c>
      <c r="D246" s="6" t="s">
        <v>17</v>
      </c>
      <c r="E246" s="6" t="s">
        <v>18</v>
      </c>
      <c r="F246" s="6" t="s">
        <v>19</v>
      </c>
      <c r="G246" s="6" t="s">
        <v>20</v>
      </c>
      <c r="H246" s="6" t="s">
        <v>21</v>
      </c>
      <c r="I246" s="6" t="s">
        <v>2</v>
      </c>
      <c r="J246" s="6" t="s">
        <v>3</v>
      </c>
      <c r="K246" s="6" t="s">
        <v>4</v>
      </c>
      <c r="L246" s="6" t="s">
        <v>5</v>
      </c>
      <c r="M246" s="6" t="s">
        <v>6</v>
      </c>
      <c r="N246" s="6" t="s">
        <v>7</v>
      </c>
      <c r="O246" s="6" t="s">
        <v>8</v>
      </c>
      <c r="P246" s="6" t="s">
        <v>9</v>
      </c>
      <c r="Q246" s="6" t="s">
        <v>10</v>
      </c>
      <c r="R246" s="6" t="s">
        <v>11</v>
      </c>
      <c r="S246" s="6" t="s">
        <v>12</v>
      </c>
      <c r="T246" s="6" t="s">
        <v>13</v>
      </c>
      <c r="U246" s="6" t="s">
        <v>14</v>
      </c>
      <c r="V246" s="6" t="s">
        <v>15</v>
      </c>
      <c r="W246" s="6" t="s">
        <v>16</v>
      </c>
      <c r="X246" s="6" t="s">
        <v>76</v>
      </c>
      <c r="Y246" s="6" t="s">
        <v>80</v>
      </c>
      <c r="Z246" s="6" t="s">
        <v>97</v>
      </c>
      <c r="AA246" s="1"/>
      <c r="AB246" s="2" t="str">
        <f>CONCATENATE(D245," - ",E248)</f>
        <v xml:space="preserve">//Экран 10 - </v>
      </c>
    </row>
    <row r="247" spans="1:36" x14ac:dyDescent="0.25">
      <c r="A247" s="16"/>
      <c r="B247" s="13"/>
      <c r="C247" s="4" t="s">
        <v>24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11"/>
      <c r="Y247" s="11"/>
      <c r="Z247" s="11"/>
      <c r="AA247" s="1"/>
      <c r="AB247" s="3" t="str">
        <f>C247</f>
        <v>{</v>
      </c>
    </row>
    <row r="248" spans="1:36" x14ac:dyDescent="0.25">
      <c r="A248" s="17">
        <v>0</v>
      </c>
      <c r="B248" s="8" t="s">
        <v>27</v>
      </c>
      <c r="C248" s="4" t="s">
        <v>24</v>
      </c>
      <c r="D248" s="5" t="s">
        <v>0</v>
      </c>
      <c r="E248" s="5"/>
      <c r="F248" s="5" t="s">
        <v>1</v>
      </c>
      <c r="G248" s="5" t="s">
        <v>1</v>
      </c>
      <c r="H248" s="17" t="str">
        <f t="shared" ref="H248:H267" si="112">IF(AND(I248="true",J248="false"),""" ""","""""")</f>
        <v>""</v>
      </c>
      <c r="I248" s="5" t="s">
        <v>46</v>
      </c>
      <c r="J248" s="5" t="s">
        <v>46</v>
      </c>
      <c r="K248" s="5" t="s">
        <v>46</v>
      </c>
      <c r="L248" s="5" t="s">
        <v>47</v>
      </c>
      <c r="M248" s="5" t="s">
        <v>22</v>
      </c>
      <c r="N248" s="8">
        <v>1</v>
      </c>
      <c r="O248" s="5">
        <v>0</v>
      </c>
      <c r="P248" s="5">
        <v>0</v>
      </c>
      <c r="Q248" s="5" t="s">
        <v>48</v>
      </c>
      <c r="R248" s="5" t="s">
        <v>23</v>
      </c>
      <c r="S248" s="5" t="s">
        <v>49</v>
      </c>
      <c r="T248" s="5" t="s">
        <v>46</v>
      </c>
      <c r="U248" s="5" t="s">
        <v>46</v>
      </c>
      <c r="V248" s="5" t="s">
        <v>46</v>
      </c>
      <c r="W248" s="5">
        <v>0</v>
      </c>
      <c r="X248" s="10" t="s">
        <v>77</v>
      </c>
      <c r="Y248" s="10"/>
      <c r="Z248" s="10"/>
      <c r="AB248" s="2" t="str">
        <f>CONCATENATE(B248,C248,D248,",""",E248,""",",F248,",",G248,",",H248,",",I248,",",J248,",",K248,",",L248,",",M248,",",N248,",",O248,",",P248,",",Q248,",",R248,",",S248,",",T248,",",U248,",",V248,",",W248,"},//",Y248)</f>
        <v>/*0*/{" ","","","","",false,false,false,true,10.0,1,0,0,100.0,0.0,0.1,false,false,false,0},//</v>
      </c>
      <c r="AD248" s="12" t="str">
        <f t="shared" ref="AD248:AD266" si="113">IF(X248="Да",IF(T248="false",CONCATENATE("float &amp;",SUBSTITUTE(Z248," ","")," = Screens[",$A$245,"][",A248,"].Param;// Ссылка. ",$Y$32,". ",Y248),CONCATENATE("bool &amp;",SUBSTITUTE(Z248," ","")," = Screens[",$A$245,"][",A248,"].BoolParam;// Ссылка. ",$Y$32,". ",Y248)),"")</f>
        <v/>
      </c>
      <c r="AE248" s="12" t="str">
        <f t="shared" ref="AE248:AE266" si="114">IF(X248="Да",IF(T248="false",CONCATENATE("float ",SUBSTITUTE(Z248," ","")," = Screens[",$A$245,"][",A248,"].Param;//",$Y$32,". ",Y248),CONCATENATE("bool ",SUBSTITUTE(Z248," ","")," = Screens[",$A$245,"][",A248,"].BoolParam;//",$Y$32,". ",Y248)),"")</f>
        <v/>
      </c>
      <c r="AH248" s="12" t="str">
        <f t="shared" ref="AH248:AH266" si="115">IF(X248="Да",CONCATENATE("Ref.",,SUBSTITUTE(Z248," ","")," = ",$AI$1,SUBSTITUTE(Z248," ",""),";//",$Y$32,". ",Y248),"")</f>
        <v/>
      </c>
      <c r="AI248" s="12" t="str">
        <f t="shared" ref="AI248:AI267" si="116">IF(X248="Да",CONCATENATE($AI$1,SUBSTITUTE(Z248," ","")," = Ref.",SUBSTITUTE(Z248," ",""),";//",$Y$32,". ",Y248),"")</f>
        <v/>
      </c>
      <c r="AJ248" s="12" t="str">
        <f t="shared" ref="AJ248:AJ266" si="117">IF(X248="Да",IF(T248="false",CONCATENATE($AI$1,SUBSTITUTE(Z248," ","")," = ",M248,";//",$Y$32,". ",Y248),CONCATENATE($AI$1,SUBSTITUTE(Z248," ","")," = ",U248,";//",$Y$32,". ",Y248)),"")</f>
        <v/>
      </c>
    </row>
    <row r="249" spans="1:36" x14ac:dyDescent="0.25">
      <c r="A249" s="17">
        <f>A248+1</f>
        <v>1</v>
      </c>
      <c r="B249" s="8" t="s">
        <v>26</v>
      </c>
      <c r="C249" s="4" t="s">
        <v>24</v>
      </c>
      <c r="D249" s="5" t="s">
        <v>0</v>
      </c>
      <c r="E249" s="5"/>
      <c r="F249" s="5" t="s">
        <v>1</v>
      </c>
      <c r="G249" s="5" t="s">
        <v>1</v>
      </c>
      <c r="H249" s="17" t="str">
        <f t="shared" si="112"/>
        <v>""</v>
      </c>
      <c r="I249" s="5" t="s">
        <v>46</v>
      </c>
      <c r="J249" s="5" t="s">
        <v>46</v>
      </c>
      <c r="K249" s="5" t="s">
        <v>46</v>
      </c>
      <c r="L249" s="5" t="s">
        <v>46</v>
      </c>
      <c r="M249" s="5" t="s">
        <v>22</v>
      </c>
      <c r="N249" s="8">
        <f>N248</f>
        <v>1</v>
      </c>
      <c r="O249" s="5">
        <v>0</v>
      </c>
      <c r="P249" s="5">
        <v>0</v>
      </c>
      <c r="Q249" s="5" t="s">
        <v>23</v>
      </c>
      <c r="R249" s="5" t="s">
        <v>23</v>
      </c>
      <c r="S249" s="5" t="s">
        <v>23</v>
      </c>
      <c r="T249" s="5" t="s">
        <v>46</v>
      </c>
      <c r="U249" s="5" t="s">
        <v>46</v>
      </c>
      <c r="V249" s="5" t="s">
        <v>46</v>
      </c>
      <c r="W249" s="5">
        <v>0</v>
      </c>
      <c r="X249" s="10" t="s">
        <v>77</v>
      </c>
      <c r="Y249" s="10"/>
      <c r="Z249" s="10"/>
      <c r="AB249" s="2" t="str">
        <f>CONCATENATE(B249,C249,D249,",""",E249,""",",F249,",",G249,",",H249,",",I249,",",J249,",",K249,",",L249,",",M249,",",N249,",",O249,",",P249,",",Q249,",",R249,",",S249,",",T249,",",U249,",",V249,",",W249,"},//",Y$248,". ",Y249)</f>
        <v xml:space="preserve">/*1*/{" ","","","","",false,false,false,false,10.0,1,0,0,0.0,0.0,0.0,false,false,false,0},//. </v>
      </c>
      <c r="AD249" s="12" t="str">
        <f t="shared" si="113"/>
        <v/>
      </c>
      <c r="AE249" s="12" t="str">
        <f t="shared" si="114"/>
        <v/>
      </c>
      <c r="AH249" s="12" t="str">
        <f t="shared" si="115"/>
        <v/>
      </c>
      <c r="AI249" s="12" t="str">
        <f t="shared" si="116"/>
        <v/>
      </c>
      <c r="AJ249" s="12" t="str">
        <f t="shared" si="117"/>
        <v/>
      </c>
    </row>
    <row r="250" spans="1:36" x14ac:dyDescent="0.25">
      <c r="A250" s="17">
        <f t="shared" ref="A250:A267" si="118">A249+1</f>
        <v>2</v>
      </c>
      <c r="B250" s="8" t="s">
        <v>28</v>
      </c>
      <c r="C250" s="4" t="s">
        <v>24</v>
      </c>
      <c r="D250" s="5" t="s">
        <v>0</v>
      </c>
      <c r="E250" s="5"/>
      <c r="F250" s="5" t="s">
        <v>1</v>
      </c>
      <c r="G250" s="5" t="s">
        <v>1</v>
      </c>
      <c r="H250" s="17" t="str">
        <f t="shared" si="112"/>
        <v>""</v>
      </c>
      <c r="I250" s="5" t="s">
        <v>46</v>
      </c>
      <c r="J250" s="5" t="s">
        <v>46</v>
      </c>
      <c r="K250" s="5" t="s">
        <v>46</v>
      </c>
      <c r="L250" s="5" t="s">
        <v>46</v>
      </c>
      <c r="M250" s="5" t="s">
        <v>22</v>
      </c>
      <c r="N250" s="8">
        <f t="shared" ref="N250:N267" si="119">N249</f>
        <v>1</v>
      </c>
      <c r="O250" s="5">
        <v>0</v>
      </c>
      <c r="P250" s="5">
        <v>0</v>
      </c>
      <c r="Q250" s="5" t="s">
        <v>23</v>
      </c>
      <c r="R250" s="5" t="s">
        <v>23</v>
      </c>
      <c r="S250" s="5" t="s">
        <v>23</v>
      </c>
      <c r="T250" s="5" t="s">
        <v>46</v>
      </c>
      <c r="U250" s="5" t="s">
        <v>46</v>
      </c>
      <c r="V250" s="5" t="s">
        <v>46</v>
      </c>
      <c r="W250" s="5">
        <v>0</v>
      </c>
      <c r="X250" s="10" t="s">
        <v>77</v>
      </c>
      <c r="Y250" s="10"/>
      <c r="Z250" s="10"/>
      <c r="AB250" s="2" t="str">
        <f t="shared" ref="AB250:AB267" si="120">CONCATENATE(B250,C250,D250,",""",E250,""",",F250,",",G250,",",H250,",",I250,",",J250,",",K250,",",L250,",",M250,",",N250,",",O250,",",P250,",",Q250,",",R250,",",S250,",",T250,",",U250,",",V250,",",W250,"},//",Y$248,". ",Y250)</f>
        <v xml:space="preserve">/*2*/{" ","","","","",false,false,false,false,10.0,1,0,0,0.0,0.0,0.0,false,false,false,0},//. </v>
      </c>
      <c r="AD250" s="12" t="str">
        <f t="shared" si="113"/>
        <v/>
      </c>
      <c r="AE250" s="12" t="str">
        <f t="shared" si="114"/>
        <v/>
      </c>
      <c r="AH250" s="12" t="str">
        <f t="shared" si="115"/>
        <v/>
      </c>
      <c r="AI250" s="12" t="str">
        <f t="shared" si="116"/>
        <v/>
      </c>
      <c r="AJ250" s="12" t="str">
        <f t="shared" si="117"/>
        <v/>
      </c>
    </row>
    <row r="251" spans="1:36" x14ac:dyDescent="0.25">
      <c r="A251" s="17">
        <f t="shared" si="118"/>
        <v>3</v>
      </c>
      <c r="B251" s="8" t="s">
        <v>29</v>
      </c>
      <c r="C251" s="4" t="s">
        <v>24</v>
      </c>
      <c r="D251" s="5" t="s">
        <v>0</v>
      </c>
      <c r="E251" s="5"/>
      <c r="F251" s="5" t="s">
        <v>1</v>
      </c>
      <c r="G251" s="5" t="s">
        <v>1</v>
      </c>
      <c r="H251" s="17" t="str">
        <f t="shared" si="112"/>
        <v>""</v>
      </c>
      <c r="I251" s="5" t="s">
        <v>46</v>
      </c>
      <c r="J251" s="5" t="s">
        <v>46</v>
      </c>
      <c r="K251" s="5" t="s">
        <v>46</v>
      </c>
      <c r="L251" s="5" t="s">
        <v>46</v>
      </c>
      <c r="M251" s="5" t="s">
        <v>22</v>
      </c>
      <c r="N251" s="8">
        <f t="shared" si="119"/>
        <v>1</v>
      </c>
      <c r="O251" s="5">
        <v>2</v>
      </c>
      <c r="P251" s="5">
        <v>0</v>
      </c>
      <c r="Q251" s="5" t="s">
        <v>23</v>
      </c>
      <c r="R251" s="5" t="s">
        <v>23</v>
      </c>
      <c r="S251" s="5" t="s">
        <v>23</v>
      </c>
      <c r="T251" s="5" t="s">
        <v>46</v>
      </c>
      <c r="U251" s="5" t="s">
        <v>46</v>
      </c>
      <c r="V251" s="5" t="s">
        <v>46</v>
      </c>
      <c r="W251" s="5">
        <v>0</v>
      </c>
      <c r="X251" s="10" t="s">
        <v>77</v>
      </c>
      <c r="Y251" s="10"/>
      <c r="Z251" s="10"/>
      <c r="AB251" s="2" t="str">
        <f t="shared" si="120"/>
        <v xml:space="preserve">/*3*/{" ","","","","",false,false,false,false,10.0,1,2,0,0.0,0.0,0.0,false,false,false,0},//. </v>
      </c>
      <c r="AD251" s="12" t="str">
        <f t="shared" si="113"/>
        <v/>
      </c>
      <c r="AE251" s="12" t="str">
        <f t="shared" si="114"/>
        <v/>
      </c>
      <c r="AH251" s="12" t="str">
        <f t="shared" si="115"/>
        <v/>
      </c>
      <c r="AI251" s="12" t="str">
        <f t="shared" si="116"/>
        <v/>
      </c>
      <c r="AJ251" s="12" t="str">
        <f t="shared" si="117"/>
        <v/>
      </c>
    </row>
    <row r="252" spans="1:36" x14ac:dyDescent="0.25">
      <c r="A252" s="17">
        <f t="shared" si="118"/>
        <v>4</v>
      </c>
      <c r="B252" s="8" t="s">
        <v>30</v>
      </c>
      <c r="C252" s="4" t="s">
        <v>24</v>
      </c>
      <c r="D252" s="5" t="s">
        <v>0</v>
      </c>
      <c r="E252" s="5"/>
      <c r="F252" s="5" t="s">
        <v>1</v>
      </c>
      <c r="G252" s="5" t="s">
        <v>1</v>
      </c>
      <c r="H252" s="17" t="str">
        <f t="shared" si="112"/>
        <v>""</v>
      </c>
      <c r="I252" s="5" t="s">
        <v>46</v>
      </c>
      <c r="J252" s="5" t="s">
        <v>46</v>
      </c>
      <c r="K252" s="5" t="s">
        <v>46</v>
      </c>
      <c r="L252" s="5" t="s">
        <v>46</v>
      </c>
      <c r="M252" s="5" t="s">
        <v>22</v>
      </c>
      <c r="N252" s="8">
        <f t="shared" si="119"/>
        <v>1</v>
      </c>
      <c r="O252" s="5">
        <v>0</v>
      </c>
      <c r="P252" s="5">
        <v>0</v>
      </c>
      <c r="Q252" s="5" t="s">
        <v>23</v>
      </c>
      <c r="R252" s="5" t="s">
        <v>23</v>
      </c>
      <c r="S252" s="5" t="s">
        <v>23</v>
      </c>
      <c r="T252" s="5" t="s">
        <v>46</v>
      </c>
      <c r="U252" s="5" t="s">
        <v>46</v>
      </c>
      <c r="V252" s="5" t="s">
        <v>46</v>
      </c>
      <c r="W252" s="5">
        <v>0</v>
      </c>
      <c r="X252" s="10" t="s">
        <v>77</v>
      </c>
      <c r="Y252" s="10"/>
      <c r="Z252" s="10"/>
      <c r="AB252" s="2" t="str">
        <f t="shared" si="120"/>
        <v xml:space="preserve">/*4*/{" ","","","","",false,false,false,false,10.0,1,0,0,0.0,0.0,0.0,false,false,false,0},//. </v>
      </c>
      <c r="AD252" s="12" t="str">
        <f t="shared" si="113"/>
        <v/>
      </c>
      <c r="AE252" s="12" t="str">
        <f t="shared" si="114"/>
        <v/>
      </c>
      <c r="AH252" s="12" t="str">
        <f t="shared" si="115"/>
        <v/>
      </c>
      <c r="AI252" s="12" t="str">
        <f t="shared" si="116"/>
        <v/>
      </c>
      <c r="AJ252" s="12" t="str">
        <f t="shared" si="117"/>
        <v/>
      </c>
    </row>
    <row r="253" spans="1:36" x14ac:dyDescent="0.25">
      <c r="A253" s="17">
        <f t="shared" si="118"/>
        <v>5</v>
      </c>
      <c r="B253" s="8" t="s">
        <v>31</v>
      </c>
      <c r="C253" s="4" t="s">
        <v>24</v>
      </c>
      <c r="D253" s="5" t="s">
        <v>0</v>
      </c>
      <c r="E253" s="5"/>
      <c r="F253" s="5" t="s">
        <v>1</v>
      </c>
      <c r="G253" s="5" t="s">
        <v>1</v>
      </c>
      <c r="H253" s="17" t="str">
        <f t="shared" si="112"/>
        <v>""</v>
      </c>
      <c r="I253" s="5" t="s">
        <v>46</v>
      </c>
      <c r="J253" s="5" t="s">
        <v>46</v>
      </c>
      <c r="K253" s="5" t="s">
        <v>46</v>
      </c>
      <c r="L253" s="5" t="s">
        <v>46</v>
      </c>
      <c r="M253" s="5" t="s">
        <v>22</v>
      </c>
      <c r="N253" s="8">
        <f t="shared" si="119"/>
        <v>1</v>
      </c>
      <c r="O253" s="5">
        <v>0</v>
      </c>
      <c r="P253" s="5">
        <v>0</v>
      </c>
      <c r="Q253" s="5" t="s">
        <v>23</v>
      </c>
      <c r="R253" s="5" t="s">
        <v>23</v>
      </c>
      <c r="S253" s="5" t="s">
        <v>23</v>
      </c>
      <c r="T253" s="5" t="s">
        <v>46</v>
      </c>
      <c r="U253" s="5" t="s">
        <v>46</v>
      </c>
      <c r="V253" s="5" t="s">
        <v>46</v>
      </c>
      <c r="W253" s="5">
        <v>0</v>
      </c>
      <c r="X253" s="10" t="s">
        <v>77</v>
      </c>
      <c r="Y253" s="10"/>
      <c r="Z253" s="10"/>
      <c r="AB253" s="2" t="str">
        <f t="shared" si="120"/>
        <v xml:space="preserve">/*5*/{" ","","","","",false,false,false,false,10.0,1,0,0,0.0,0.0,0.0,false,false,false,0},//. </v>
      </c>
      <c r="AD253" s="12" t="str">
        <f t="shared" si="113"/>
        <v/>
      </c>
      <c r="AE253" s="12" t="str">
        <f t="shared" si="114"/>
        <v/>
      </c>
      <c r="AH253" s="12" t="str">
        <f t="shared" si="115"/>
        <v/>
      </c>
      <c r="AI253" s="12" t="str">
        <f t="shared" si="116"/>
        <v/>
      </c>
      <c r="AJ253" s="12" t="str">
        <f t="shared" si="117"/>
        <v/>
      </c>
    </row>
    <row r="254" spans="1:36" x14ac:dyDescent="0.25">
      <c r="A254" s="17">
        <f t="shared" si="118"/>
        <v>6</v>
      </c>
      <c r="B254" s="8" t="s">
        <v>32</v>
      </c>
      <c r="C254" s="4" t="s">
        <v>24</v>
      </c>
      <c r="D254" s="5" t="s">
        <v>0</v>
      </c>
      <c r="E254" s="5"/>
      <c r="F254" s="5" t="s">
        <v>1</v>
      </c>
      <c r="G254" s="5" t="s">
        <v>1</v>
      </c>
      <c r="H254" s="17" t="str">
        <f t="shared" si="112"/>
        <v>""</v>
      </c>
      <c r="I254" s="5" t="s">
        <v>46</v>
      </c>
      <c r="J254" s="5" t="s">
        <v>46</v>
      </c>
      <c r="K254" s="5" t="s">
        <v>46</v>
      </c>
      <c r="L254" s="5" t="s">
        <v>46</v>
      </c>
      <c r="M254" s="5" t="s">
        <v>22</v>
      </c>
      <c r="N254" s="8">
        <f t="shared" si="119"/>
        <v>1</v>
      </c>
      <c r="O254" s="5">
        <v>0</v>
      </c>
      <c r="P254" s="5">
        <v>0</v>
      </c>
      <c r="Q254" s="5" t="s">
        <v>23</v>
      </c>
      <c r="R254" s="5" t="s">
        <v>23</v>
      </c>
      <c r="S254" s="5" t="s">
        <v>23</v>
      </c>
      <c r="T254" s="5" t="s">
        <v>46</v>
      </c>
      <c r="U254" s="5" t="s">
        <v>46</v>
      </c>
      <c r="V254" s="5" t="s">
        <v>46</v>
      </c>
      <c r="W254" s="5">
        <v>0</v>
      </c>
      <c r="X254" s="10" t="s">
        <v>77</v>
      </c>
      <c r="Y254" s="10"/>
      <c r="Z254" s="10"/>
      <c r="AB254" s="2" t="str">
        <f t="shared" si="120"/>
        <v xml:space="preserve">/*6*/{" ","","","","",false,false,false,false,10.0,1,0,0,0.0,0.0,0.0,false,false,false,0},//. </v>
      </c>
      <c r="AD254" s="12" t="str">
        <f t="shared" si="113"/>
        <v/>
      </c>
      <c r="AE254" s="12" t="str">
        <f t="shared" si="114"/>
        <v/>
      </c>
      <c r="AH254" s="12" t="str">
        <f t="shared" si="115"/>
        <v/>
      </c>
      <c r="AI254" s="12" t="str">
        <f t="shared" si="116"/>
        <v/>
      </c>
      <c r="AJ254" s="12" t="str">
        <f t="shared" si="117"/>
        <v/>
      </c>
    </row>
    <row r="255" spans="1:36" x14ac:dyDescent="0.25">
      <c r="A255" s="17">
        <f t="shared" si="118"/>
        <v>7</v>
      </c>
      <c r="B255" s="8" t="s">
        <v>33</v>
      </c>
      <c r="C255" s="4" t="s">
        <v>24</v>
      </c>
      <c r="D255" s="5" t="s">
        <v>0</v>
      </c>
      <c r="E255" s="5"/>
      <c r="F255" s="5" t="s">
        <v>1</v>
      </c>
      <c r="G255" s="5" t="s">
        <v>1</v>
      </c>
      <c r="H255" s="17" t="str">
        <f t="shared" si="112"/>
        <v>""</v>
      </c>
      <c r="I255" s="5" t="s">
        <v>46</v>
      </c>
      <c r="J255" s="5" t="s">
        <v>46</v>
      </c>
      <c r="K255" s="5" t="s">
        <v>46</v>
      </c>
      <c r="L255" s="5" t="s">
        <v>46</v>
      </c>
      <c r="M255" s="5" t="s">
        <v>22</v>
      </c>
      <c r="N255" s="8">
        <f t="shared" si="119"/>
        <v>1</v>
      </c>
      <c r="O255" s="5">
        <v>0</v>
      </c>
      <c r="P255" s="5">
        <v>0</v>
      </c>
      <c r="Q255" s="5" t="s">
        <v>23</v>
      </c>
      <c r="R255" s="5" t="s">
        <v>23</v>
      </c>
      <c r="S255" s="5" t="s">
        <v>23</v>
      </c>
      <c r="T255" s="5" t="s">
        <v>46</v>
      </c>
      <c r="U255" s="5" t="s">
        <v>46</v>
      </c>
      <c r="V255" s="5" t="s">
        <v>46</v>
      </c>
      <c r="W255" s="5">
        <v>0</v>
      </c>
      <c r="X255" s="10" t="s">
        <v>77</v>
      </c>
      <c r="Y255" s="10"/>
      <c r="Z255" s="10"/>
      <c r="AB255" s="2" t="str">
        <f t="shared" si="120"/>
        <v xml:space="preserve">/*7*/{" ","","","","",false,false,false,false,10.0,1,0,0,0.0,0.0,0.0,false,false,false,0},//. </v>
      </c>
      <c r="AD255" s="12" t="str">
        <f t="shared" si="113"/>
        <v/>
      </c>
      <c r="AE255" s="12" t="str">
        <f t="shared" si="114"/>
        <v/>
      </c>
      <c r="AH255" s="12" t="str">
        <f t="shared" si="115"/>
        <v/>
      </c>
      <c r="AI255" s="12" t="str">
        <f t="shared" si="116"/>
        <v/>
      </c>
      <c r="AJ255" s="12" t="str">
        <f t="shared" si="117"/>
        <v/>
      </c>
    </row>
    <row r="256" spans="1:36" x14ac:dyDescent="0.25">
      <c r="A256" s="17">
        <f t="shared" si="118"/>
        <v>8</v>
      </c>
      <c r="B256" s="8" t="s">
        <v>34</v>
      </c>
      <c r="C256" s="4" t="s">
        <v>24</v>
      </c>
      <c r="D256" s="5" t="s">
        <v>0</v>
      </c>
      <c r="E256" s="5"/>
      <c r="F256" s="5" t="s">
        <v>1</v>
      </c>
      <c r="G256" s="5" t="s">
        <v>1</v>
      </c>
      <c r="H256" s="17" t="str">
        <f t="shared" si="112"/>
        <v>""</v>
      </c>
      <c r="I256" s="5" t="s">
        <v>46</v>
      </c>
      <c r="J256" s="5" t="s">
        <v>46</v>
      </c>
      <c r="K256" s="5" t="s">
        <v>46</v>
      </c>
      <c r="L256" s="5" t="s">
        <v>46</v>
      </c>
      <c r="M256" s="5" t="s">
        <v>22</v>
      </c>
      <c r="N256" s="8">
        <f t="shared" si="119"/>
        <v>1</v>
      </c>
      <c r="O256" s="5">
        <v>0</v>
      </c>
      <c r="P256" s="5">
        <v>0</v>
      </c>
      <c r="Q256" s="5" t="s">
        <v>23</v>
      </c>
      <c r="R256" s="5" t="s">
        <v>23</v>
      </c>
      <c r="S256" s="5" t="s">
        <v>23</v>
      </c>
      <c r="T256" s="5" t="s">
        <v>46</v>
      </c>
      <c r="U256" s="5" t="s">
        <v>46</v>
      </c>
      <c r="V256" s="5" t="s">
        <v>46</v>
      </c>
      <c r="W256" s="5">
        <v>0</v>
      </c>
      <c r="X256" s="10" t="s">
        <v>77</v>
      </c>
      <c r="Y256" s="10"/>
      <c r="Z256" s="10"/>
      <c r="AB256" s="2" t="str">
        <f t="shared" si="120"/>
        <v xml:space="preserve">/*8*/{" ","","","","",false,false,false,false,10.0,1,0,0,0.0,0.0,0.0,false,false,false,0},//. </v>
      </c>
      <c r="AD256" s="12" t="str">
        <f t="shared" si="113"/>
        <v/>
      </c>
      <c r="AE256" s="12" t="str">
        <f t="shared" si="114"/>
        <v/>
      </c>
      <c r="AH256" s="12" t="str">
        <f t="shared" si="115"/>
        <v/>
      </c>
      <c r="AI256" s="12" t="str">
        <f t="shared" si="116"/>
        <v/>
      </c>
      <c r="AJ256" s="12" t="str">
        <f t="shared" si="117"/>
        <v/>
      </c>
    </row>
    <row r="257" spans="1:36" x14ac:dyDescent="0.25">
      <c r="A257" s="17">
        <f t="shared" si="118"/>
        <v>9</v>
      </c>
      <c r="B257" s="8" t="s">
        <v>35</v>
      </c>
      <c r="C257" s="4" t="s">
        <v>24</v>
      </c>
      <c r="D257" s="5" t="s">
        <v>0</v>
      </c>
      <c r="E257" s="5"/>
      <c r="F257" s="5" t="s">
        <v>1</v>
      </c>
      <c r="G257" s="5" t="s">
        <v>1</v>
      </c>
      <c r="H257" s="17" t="str">
        <f t="shared" si="112"/>
        <v>""</v>
      </c>
      <c r="I257" s="5" t="s">
        <v>46</v>
      </c>
      <c r="J257" s="5" t="s">
        <v>46</v>
      </c>
      <c r="K257" s="5" t="s">
        <v>46</v>
      </c>
      <c r="L257" s="5" t="s">
        <v>46</v>
      </c>
      <c r="M257" s="5" t="s">
        <v>22</v>
      </c>
      <c r="N257" s="8">
        <f t="shared" si="119"/>
        <v>1</v>
      </c>
      <c r="O257" s="5">
        <v>0</v>
      </c>
      <c r="P257" s="5">
        <v>0</v>
      </c>
      <c r="Q257" s="5" t="s">
        <v>23</v>
      </c>
      <c r="R257" s="5" t="s">
        <v>23</v>
      </c>
      <c r="S257" s="5" t="s">
        <v>23</v>
      </c>
      <c r="T257" s="5" t="s">
        <v>46</v>
      </c>
      <c r="U257" s="5" t="s">
        <v>46</v>
      </c>
      <c r="V257" s="5" t="s">
        <v>46</v>
      </c>
      <c r="W257" s="5">
        <v>0</v>
      </c>
      <c r="X257" s="10" t="s">
        <v>77</v>
      </c>
      <c r="Y257" s="10"/>
      <c r="Z257" s="10"/>
      <c r="AB257" s="2" t="str">
        <f t="shared" si="120"/>
        <v xml:space="preserve">/*9*/{" ","","","","",false,false,false,false,10.0,1,0,0,0.0,0.0,0.0,false,false,false,0},//. </v>
      </c>
      <c r="AD257" s="12" t="str">
        <f t="shared" si="113"/>
        <v/>
      </c>
      <c r="AE257" s="12" t="str">
        <f t="shared" si="114"/>
        <v/>
      </c>
      <c r="AH257" s="12" t="str">
        <f t="shared" si="115"/>
        <v/>
      </c>
      <c r="AI257" s="12" t="str">
        <f t="shared" si="116"/>
        <v/>
      </c>
      <c r="AJ257" s="12" t="str">
        <f t="shared" si="117"/>
        <v/>
      </c>
    </row>
    <row r="258" spans="1:36" x14ac:dyDescent="0.25">
      <c r="A258" s="17">
        <f t="shared" si="118"/>
        <v>10</v>
      </c>
      <c r="B258" s="8" t="s">
        <v>36</v>
      </c>
      <c r="C258" s="4" t="s">
        <v>24</v>
      </c>
      <c r="D258" s="5" t="s">
        <v>0</v>
      </c>
      <c r="E258" s="5"/>
      <c r="F258" s="5" t="s">
        <v>1</v>
      </c>
      <c r="G258" s="5" t="s">
        <v>1</v>
      </c>
      <c r="H258" s="17" t="str">
        <f t="shared" si="112"/>
        <v>""</v>
      </c>
      <c r="I258" s="5" t="s">
        <v>46</v>
      </c>
      <c r="J258" s="5" t="s">
        <v>46</v>
      </c>
      <c r="K258" s="5" t="s">
        <v>46</v>
      </c>
      <c r="L258" s="5" t="s">
        <v>46</v>
      </c>
      <c r="M258" s="5" t="s">
        <v>22</v>
      </c>
      <c r="N258" s="8">
        <f t="shared" si="119"/>
        <v>1</v>
      </c>
      <c r="O258" s="5">
        <v>0</v>
      </c>
      <c r="P258" s="5">
        <v>0</v>
      </c>
      <c r="Q258" s="5" t="s">
        <v>23</v>
      </c>
      <c r="R258" s="5" t="s">
        <v>23</v>
      </c>
      <c r="S258" s="5" t="s">
        <v>23</v>
      </c>
      <c r="T258" s="5" t="s">
        <v>46</v>
      </c>
      <c r="U258" s="5" t="s">
        <v>46</v>
      </c>
      <c r="V258" s="5" t="s">
        <v>46</v>
      </c>
      <c r="W258" s="5">
        <v>0</v>
      </c>
      <c r="X258" s="10" t="s">
        <v>77</v>
      </c>
      <c r="Y258" s="10"/>
      <c r="Z258" s="10"/>
      <c r="AB258" s="2" t="str">
        <f t="shared" si="120"/>
        <v xml:space="preserve">/*10*/{" ","","","","",false,false,false,false,10.0,1,0,0,0.0,0.0,0.0,false,false,false,0},//. </v>
      </c>
      <c r="AD258" s="12" t="str">
        <f t="shared" si="113"/>
        <v/>
      </c>
      <c r="AE258" s="12" t="str">
        <f t="shared" si="114"/>
        <v/>
      </c>
      <c r="AH258" s="12" t="str">
        <f t="shared" si="115"/>
        <v/>
      </c>
      <c r="AI258" s="12" t="str">
        <f t="shared" si="116"/>
        <v/>
      </c>
      <c r="AJ258" s="12" t="str">
        <f t="shared" si="117"/>
        <v/>
      </c>
    </row>
    <row r="259" spans="1:36" x14ac:dyDescent="0.25">
      <c r="A259" s="17">
        <f t="shared" si="118"/>
        <v>11</v>
      </c>
      <c r="B259" s="8" t="s">
        <v>37</v>
      </c>
      <c r="C259" s="4" t="s">
        <v>24</v>
      </c>
      <c r="D259" s="5" t="s">
        <v>0</v>
      </c>
      <c r="E259" s="5"/>
      <c r="F259" s="5" t="s">
        <v>1</v>
      </c>
      <c r="G259" s="5" t="s">
        <v>1</v>
      </c>
      <c r="H259" s="17" t="str">
        <f t="shared" si="112"/>
        <v>""</v>
      </c>
      <c r="I259" s="5" t="s">
        <v>46</v>
      </c>
      <c r="J259" s="5" t="s">
        <v>46</v>
      </c>
      <c r="K259" s="5" t="s">
        <v>46</v>
      </c>
      <c r="L259" s="5" t="s">
        <v>46</v>
      </c>
      <c r="M259" s="5" t="s">
        <v>22</v>
      </c>
      <c r="N259" s="8">
        <f t="shared" si="119"/>
        <v>1</v>
      </c>
      <c r="O259" s="5">
        <v>0</v>
      </c>
      <c r="P259" s="5">
        <v>0</v>
      </c>
      <c r="Q259" s="5" t="s">
        <v>23</v>
      </c>
      <c r="R259" s="5" t="s">
        <v>23</v>
      </c>
      <c r="S259" s="5" t="s">
        <v>23</v>
      </c>
      <c r="T259" s="5" t="s">
        <v>46</v>
      </c>
      <c r="U259" s="5" t="s">
        <v>46</v>
      </c>
      <c r="V259" s="5" t="s">
        <v>46</v>
      </c>
      <c r="W259" s="5">
        <v>0</v>
      </c>
      <c r="X259" s="10" t="s">
        <v>77</v>
      </c>
      <c r="Y259" s="10"/>
      <c r="Z259" s="10"/>
      <c r="AB259" s="2" t="str">
        <f t="shared" si="120"/>
        <v xml:space="preserve">/*11*/{" ","","","","",false,false,false,false,10.0,1,0,0,0.0,0.0,0.0,false,false,false,0},//. </v>
      </c>
      <c r="AD259" s="12" t="str">
        <f t="shared" si="113"/>
        <v/>
      </c>
      <c r="AE259" s="12" t="str">
        <f t="shared" si="114"/>
        <v/>
      </c>
      <c r="AH259" s="12" t="str">
        <f t="shared" si="115"/>
        <v/>
      </c>
      <c r="AI259" s="12" t="str">
        <f t="shared" si="116"/>
        <v/>
      </c>
      <c r="AJ259" s="12" t="str">
        <f t="shared" si="117"/>
        <v/>
      </c>
    </row>
    <row r="260" spans="1:36" x14ac:dyDescent="0.25">
      <c r="A260" s="17">
        <f t="shared" si="118"/>
        <v>12</v>
      </c>
      <c r="B260" s="8" t="s">
        <v>38</v>
      </c>
      <c r="C260" s="4" t="s">
        <v>24</v>
      </c>
      <c r="D260" s="5" t="s">
        <v>0</v>
      </c>
      <c r="E260" s="5"/>
      <c r="F260" s="5" t="s">
        <v>1</v>
      </c>
      <c r="G260" s="5" t="s">
        <v>1</v>
      </c>
      <c r="H260" s="17" t="str">
        <f t="shared" si="112"/>
        <v>""</v>
      </c>
      <c r="I260" s="5" t="s">
        <v>46</v>
      </c>
      <c r="J260" s="5" t="s">
        <v>46</v>
      </c>
      <c r="K260" s="5" t="s">
        <v>46</v>
      </c>
      <c r="L260" s="5" t="s">
        <v>46</v>
      </c>
      <c r="M260" s="5" t="s">
        <v>22</v>
      </c>
      <c r="N260" s="8">
        <f t="shared" si="119"/>
        <v>1</v>
      </c>
      <c r="O260" s="5">
        <v>0</v>
      </c>
      <c r="P260" s="5">
        <v>0</v>
      </c>
      <c r="Q260" s="5" t="s">
        <v>23</v>
      </c>
      <c r="R260" s="5" t="s">
        <v>23</v>
      </c>
      <c r="S260" s="5" t="s">
        <v>23</v>
      </c>
      <c r="T260" s="5" t="s">
        <v>46</v>
      </c>
      <c r="U260" s="5" t="s">
        <v>46</v>
      </c>
      <c r="V260" s="5" t="s">
        <v>46</v>
      </c>
      <c r="W260" s="5">
        <v>0</v>
      </c>
      <c r="X260" s="10" t="s">
        <v>77</v>
      </c>
      <c r="Y260" s="10"/>
      <c r="Z260" s="10"/>
      <c r="AB260" s="2" t="str">
        <f t="shared" si="120"/>
        <v xml:space="preserve">/*12*/{" ","","","","",false,false,false,false,10.0,1,0,0,0.0,0.0,0.0,false,false,false,0},//. </v>
      </c>
      <c r="AD260" s="12" t="str">
        <f t="shared" si="113"/>
        <v/>
      </c>
      <c r="AE260" s="12" t="str">
        <f t="shared" si="114"/>
        <v/>
      </c>
      <c r="AH260" s="12" t="str">
        <f t="shared" si="115"/>
        <v/>
      </c>
      <c r="AI260" s="12" t="str">
        <f t="shared" si="116"/>
        <v/>
      </c>
      <c r="AJ260" s="12" t="str">
        <f t="shared" si="117"/>
        <v/>
      </c>
    </row>
    <row r="261" spans="1:36" x14ac:dyDescent="0.25">
      <c r="A261" s="17">
        <f t="shared" si="118"/>
        <v>13</v>
      </c>
      <c r="B261" s="8" t="s">
        <v>39</v>
      </c>
      <c r="C261" s="4" t="s">
        <v>24</v>
      </c>
      <c r="D261" s="5" t="s">
        <v>0</v>
      </c>
      <c r="E261" s="5"/>
      <c r="F261" s="5" t="s">
        <v>1</v>
      </c>
      <c r="G261" s="5" t="s">
        <v>1</v>
      </c>
      <c r="H261" s="17" t="str">
        <f t="shared" si="112"/>
        <v>""</v>
      </c>
      <c r="I261" s="5" t="s">
        <v>46</v>
      </c>
      <c r="J261" s="5" t="s">
        <v>46</v>
      </c>
      <c r="K261" s="5" t="s">
        <v>46</v>
      </c>
      <c r="L261" s="5" t="s">
        <v>46</v>
      </c>
      <c r="M261" s="5" t="s">
        <v>22</v>
      </c>
      <c r="N261" s="8">
        <f t="shared" si="119"/>
        <v>1</v>
      </c>
      <c r="O261" s="5">
        <v>0</v>
      </c>
      <c r="P261" s="5">
        <v>0</v>
      </c>
      <c r="Q261" s="5" t="s">
        <v>23</v>
      </c>
      <c r="R261" s="5" t="s">
        <v>23</v>
      </c>
      <c r="S261" s="5" t="s">
        <v>23</v>
      </c>
      <c r="T261" s="5" t="s">
        <v>46</v>
      </c>
      <c r="U261" s="5" t="s">
        <v>46</v>
      </c>
      <c r="V261" s="5" t="s">
        <v>46</v>
      </c>
      <c r="W261" s="5">
        <v>0</v>
      </c>
      <c r="X261" s="10" t="s">
        <v>77</v>
      </c>
      <c r="Y261" s="10"/>
      <c r="Z261" s="10"/>
      <c r="AB261" s="2" t="str">
        <f t="shared" si="120"/>
        <v xml:space="preserve">/*13*/{" ","","","","",false,false,false,false,10.0,1,0,0,0.0,0.0,0.0,false,false,false,0},//. </v>
      </c>
      <c r="AD261" s="12" t="str">
        <f t="shared" si="113"/>
        <v/>
      </c>
      <c r="AE261" s="12" t="str">
        <f t="shared" si="114"/>
        <v/>
      </c>
      <c r="AH261" s="12" t="str">
        <f t="shared" si="115"/>
        <v/>
      </c>
      <c r="AI261" s="12" t="str">
        <f t="shared" si="116"/>
        <v/>
      </c>
      <c r="AJ261" s="12" t="str">
        <f t="shared" si="117"/>
        <v/>
      </c>
    </row>
    <row r="262" spans="1:36" x14ac:dyDescent="0.25">
      <c r="A262" s="17">
        <f t="shared" si="118"/>
        <v>14</v>
      </c>
      <c r="B262" s="8" t="s">
        <v>40</v>
      </c>
      <c r="C262" s="4" t="s">
        <v>24</v>
      </c>
      <c r="D262" s="5" t="s">
        <v>0</v>
      </c>
      <c r="E262" s="5"/>
      <c r="F262" s="5" t="s">
        <v>1</v>
      </c>
      <c r="G262" s="5" t="s">
        <v>1</v>
      </c>
      <c r="H262" s="17" t="str">
        <f t="shared" si="112"/>
        <v>""</v>
      </c>
      <c r="I262" s="5" t="s">
        <v>46</v>
      </c>
      <c r="J262" s="5" t="s">
        <v>46</v>
      </c>
      <c r="K262" s="5" t="s">
        <v>46</v>
      </c>
      <c r="L262" s="5" t="s">
        <v>46</v>
      </c>
      <c r="M262" s="5" t="s">
        <v>22</v>
      </c>
      <c r="N262" s="8">
        <f t="shared" si="119"/>
        <v>1</v>
      </c>
      <c r="O262" s="5">
        <v>0</v>
      </c>
      <c r="P262" s="5">
        <v>0</v>
      </c>
      <c r="Q262" s="5" t="s">
        <v>23</v>
      </c>
      <c r="R262" s="5" t="s">
        <v>23</v>
      </c>
      <c r="S262" s="5" t="s">
        <v>23</v>
      </c>
      <c r="T262" s="5" t="s">
        <v>46</v>
      </c>
      <c r="U262" s="5" t="s">
        <v>46</v>
      </c>
      <c r="V262" s="5" t="s">
        <v>46</v>
      </c>
      <c r="W262" s="5">
        <v>0</v>
      </c>
      <c r="X262" s="10" t="s">
        <v>77</v>
      </c>
      <c r="Y262" s="10"/>
      <c r="Z262" s="10"/>
      <c r="AB262" s="2" t="str">
        <f t="shared" si="120"/>
        <v xml:space="preserve">/*14*/{" ","","","","",false,false,false,false,10.0,1,0,0,0.0,0.0,0.0,false,false,false,0},//. </v>
      </c>
      <c r="AD262" s="12" t="str">
        <f t="shared" si="113"/>
        <v/>
      </c>
      <c r="AE262" s="12" t="str">
        <f t="shared" si="114"/>
        <v/>
      </c>
      <c r="AH262" s="12" t="str">
        <f t="shared" si="115"/>
        <v/>
      </c>
      <c r="AI262" s="12" t="str">
        <f t="shared" si="116"/>
        <v/>
      </c>
      <c r="AJ262" s="12" t="str">
        <f t="shared" si="117"/>
        <v/>
      </c>
    </row>
    <row r="263" spans="1:36" x14ac:dyDescent="0.25">
      <c r="A263" s="17">
        <f t="shared" si="118"/>
        <v>15</v>
      </c>
      <c r="B263" s="8" t="s">
        <v>41</v>
      </c>
      <c r="C263" s="4" t="s">
        <v>24</v>
      </c>
      <c r="D263" s="5" t="s">
        <v>0</v>
      </c>
      <c r="E263" s="5"/>
      <c r="F263" s="5" t="s">
        <v>1</v>
      </c>
      <c r="G263" s="5" t="s">
        <v>1</v>
      </c>
      <c r="H263" s="17" t="str">
        <f t="shared" si="112"/>
        <v>""</v>
      </c>
      <c r="I263" s="5" t="s">
        <v>46</v>
      </c>
      <c r="J263" s="5" t="s">
        <v>46</v>
      </c>
      <c r="K263" s="5" t="s">
        <v>46</v>
      </c>
      <c r="L263" s="5" t="s">
        <v>46</v>
      </c>
      <c r="M263" s="5" t="s">
        <v>22</v>
      </c>
      <c r="N263" s="8">
        <f t="shared" si="119"/>
        <v>1</v>
      </c>
      <c r="O263" s="5">
        <v>0</v>
      </c>
      <c r="P263" s="5">
        <v>0</v>
      </c>
      <c r="Q263" s="5" t="s">
        <v>23</v>
      </c>
      <c r="R263" s="5" t="s">
        <v>23</v>
      </c>
      <c r="S263" s="5" t="s">
        <v>23</v>
      </c>
      <c r="T263" s="5" t="s">
        <v>46</v>
      </c>
      <c r="U263" s="5" t="s">
        <v>46</v>
      </c>
      <c r="V263" s="5" t="s">
        <v>46</v>
      </c>
      <c r="W263" s="5">
        <v>0</v>
      </c>
      <c r="X263" s="10" t="s">
        <v>77</v>
      </c>
      <c r="Y263" s="10"/>
      <c r="Z263" s="10"/>
      <c r="AB263" s="2" t="str">
        <f t="shared" si="120"/>
        <v xml:space="preserve">/*15*/{" ","","","","",false,false,false,false,10.0,1,0,0,0.0,0.0,0.0,false,false,false,0},//. </v>
      </c>
      <c r="AD263" s="12" t="str">
        <f t="shared" si="113"/>
        <v/>
      </c>
      <c r="AE263" s="12" t="str">
        <f t="shared" si="114"/>
        <v/>
      </c>
      <c r="AH263" s="12" t="str">
        <f t="shared" si="115"/>
        <v/>
      </c>
      <c r="AI263" s="12" t="str">
        <f t="shared" si="116"/>
        <v/>
      </c>
      <c r="AJ263" s="12" t="str">
        <f t="shared" si="117"/>
        <v/>
      </c>
    </row>
    <row r="264" spans="1:36" x14ac:dyDescent="0.25">
      <c r="A264" s="17">
        <f t="shared" si="118"/>
        <v>16</v>
      </c>
      <c r="B264" s="8" t="s">
        <v>42</v>
      </c>
      <c r="C264" s="4" t="s">
        <v>24</v>
      </c>
      <c r="D264" s="5" t="s">
        <v>0</v>
      </c>
      <c r="E264" s="5"/>
      <c r="F264" s="5" t="s">
        <v>1</v>
      </c>
      <c r="G264" s="5" t="s">
        <v>1</v>
      </c>
      <c r="H264" s="17" t="str">
        <f t="shared" si="112"/>
        <v>""</v>
      </c>
      <c r="I264" s="5" t="s">
        <v>46</v>
      </c>
      <c r="J264" s="5" t="s">
        <v>46</v>
      </c>
      <c r="K264" s="5" t="s">
        <v>46</v>
      </c>
      <c r="L264" s="5" t="s">
        <v>46</v>
      </c>
      <c r="M264" s="5" t="s">
        <v>22</v>
      </c>
      <c r="N264" s="8">
        <f t="shared" si="119"/>
        <v>1</v>
      </c>
      <c r="O264" s="5">
        <v>0</v>
      </c>
      <c r="P264" s="5">
        <v>0</v>
      </c>
      <c r="Q264" s="5" t="s">
        <v>23</v>
      </c>
      <c r="R264" s="5" t="s">
        <v>23</v>
      </c>
      <c r="S264" s="5" t="s">
        <v>23</v>
      </c>
      <c r="T264" s="5" t="s">
        <v>46</v>
      </c>
      <c r="U264" s="5" t="s">
        <v>46</v>
      </c>
      <c r="V264" s="5" t="s">
        <v>46</v>
      </c>
      <c r="W264" s="5">
        <v>0</v>
      </c>
      <c r="X264" s="10" t="s">
        <v>77</v>
      </c>
      <c r="Y264" s="10"/>
      <c r="Z264" s="10"/>
      <c r="AB264" s="2" t="str">
        <f t="shared" si="120"/>
        <v xml:space="preserve">/*16*/{" ","","","","",false,false,false,false,10.0,1,0,0,0.0,0.0,0.0,false,false,false,0},//. </v>
      </c>
      <c r="AD264" s="12" t="str">
        <f t="shared" si="113"/>
        <v/>
      </c>
      <c r="AE264" s="12" t="str">
        <f t="shared" si="114"/>
        <v/>
      </c>
      <c r="AH264" s="12" t="str">
        <f t="shared" si="115"/>
        <v/>
      </c>
      <c r="AI264" s="12" t="str">
        <f t="shared" si="116"/>
        <v/>
      </c>
      <c r="AJ264" s="12" t="str">
        <f t="shared" si="117"/>
        <v/>
      </c>
    </row>
    <row r="265" spans="1:36" x14ac:dyDescent="0.25">
      <c r="A265" s="17">
        <f t="shared" si="118"/>
        <v>17</v>
      </c>
      <c r="B265" s="8" t="s">
        <v>43</v>
      </c>
      <c r="C265" s="4" t="s">
        <v>24</v>
      </c>
      <c r="D265" s="5" t="s">
        <v>0</v>
      </c>
      <c r="E265" s="5"/>
      <c r="F265" s="5" t="s">
        <v>1</v>
      </c>
      <c r="G265" s="5" t="s">
        <v>1</v>
      </c>
      <c r="H265" s="17" t="str">
        <f t="shared" si="112"/>
        <v>""</v>
      </c>
      <c r="I265" s="5" t="s">
        <v>46</v>
      </c>
      <c r="J265" s="5" t="s">
        <v>46</v>
      </c>
      <c r="K265" s="5" t="s">
        <v>46</v>
      </c>
      <c r="L265" s="5" t="s">
        <v>46</v>
      </c>
      <c r="M265" s="5" t="s">
        <v>22</v>
      </c>
      <c r="N265" s="8">
        <f t="shared" si="119"/>
        <v>1</v>
      </c>
      <c r="O265" s="5">
        <v>0</v>
      </c>
      <c r="P265" s="5">
        <v>0</v>
      </c>
      <c r="Q265" s="5" t="s">
        <v>23</v>
      </c>
      <c r="R265" s="5" t="s">
        <v>23</v>
      </c>
      <c r="S265" s="5" t="s">
        <v>23</v>
      </c>
      <c r="T265" s="5" t="s">
        <v>46</v>
      </c>
      <c r="U265" s="5" t="s">
        <v>46</v>
      </c>
      <c r="V265" s="5" t="s">
        <v>46</v>
      </c>
      <c r="W265" s="5">
        <v>0</v>
      </c>
      <c r="X265" s="10" t="s">
        <v>77</v>
      </c>
      <c r="Y265" s="10"/>
      <c r="Z265" s="10"/>
      <c r="AB265" s="2" t="str">
        <f t="shared" si="120"/>
        <v xml:space="preserve">/*17*/{" ","","","","",false,false,false,false,10.0,1,0,0,0.0,0.0,0.0,false,false,false,0},//. </v>
      </c>
      <c r="AD265" s="12" t="str">
        <f t="shared" si="113"/>
        <v/>
      </c>
      <c r="AE265" s="12" t="str">
        <f t="shared" si="114"/>
        <v/>
      </c>
      <c r="AH265" s="12" t="str">
        <f t="shared" si="115"/>
        <v/>
      </c>
      <c r="AI265" s="12" t="str">
        <f t="shared" si="116"/>
        <v/>
      </c>
      <c r="AJ265" s="12" t="str">
        <f t="shared" si="117"/>
        <v/>
      </c>
    </row>
    <row r="266" spans="1:36" x14ac:dyDescent="0.25">
      <c r="A266" s="17">
        <f t="shared" si="118"/>
        <v>18</v>
      </c>
      <c r="B266" s="8" t="s">
        <v>44</v>
      </c>
      <c r="C266" s="4" t="s">
        <v>24</v>
      </c>
      <c r="D266" s="5" t="s">
        <v>0</v>
      </c>
      <c r="E266" s="5"/>
      <c r="F266" s="5" t="s">
        <v>1</v>
      </c>
      <c r="G266" s="5" t="s">
        <v>1</v>
      </c>
      <c r="H266" s="17" t="str">
        <f t="shared" si="112"/>
        <v>""</v>
      </c>
      <c r="I266" s="5" t="s">
        <v>46</v>
      </c>
      <c r="J266" s="5" t="s">
        <v>46</v>
      </c>
      <c r="K266" s="5" t="s">
        <v>46</v>
      </c>
      <c r="L266" s="5" t="s">
        <v>46</v>
      </c>
      <c r="M266" s="5" t="s">
        <v>22</v>
      </c>
      <c r="N266" s="8">
        <f t="shared" si="119"/>
        <v>1</v>
      </c>
      <c r="O266" s="5">
        <v>0</v>
      </c>
      <c r="P266" s="5">
        <v>0</v>
      </c>
      <c r="Q266" s="5" t="s">
        <v>23</v>
      </c>
      <c r="R266" s="5" t="s">
        <v>23</v>
      </c>
      <c r="S266" s="5" t="s">
        <v>23</v>
      </c>
      <c r="T266" s="5" t="s">
        <v>46</v>
      </c>
      <c r="U266" s="5" t="s">
        <v>46</v>
      </c>
      <c r="V266" s="5" t="s">
        <v>46</v>
      </c>
      <c r="W266" s="5">
        <v>0</v>
      </c>
      <c r="X266" s="10" t="s">
        <v>77</v>
      </c>
      <c r="Y266" s="10"/>
      <c r="Z266" s="10"/>
      <c r="AB266" s="2" t="str">
        <f t="shared" si="120"/>
        <v xml:space="preserve">/*18*/{" ","","","","",false,false,false,false,10.0,1,0,0,0.0,0.0,0.0,false,false,false,0},//. </v>
      </c>
      <c r="AD266" s="12" t="str">
        <f t="shared" si="113"/>
        <v/>
      </c>
      <c r="AE266" s="12" t="str">
        <f t="shared" si="114"/>
        <v/>
      </c>
      <c r="AH266" s="12" t="str">
        <f t="shared" si="115"/>
        <v/>
      </c>
      <c r="AI266" s="12" t="str">
        <f t="shared" si="116"/>
        <v/>
      </c>
      <c r="AJ266" s="12" t="str">
        <f t="shared" si="117"/>
        <v/>
      </c>
    </row>
    <row r="267" spans="1:36" x14ac:dyDescent="0.25">
      <c r="A267" s="17">
        <f t="shared" si="118"/>
        <v>19</v>
      </c>
      <c r="B267" s="8" t="s">
        <v>45</v>
      </c>
      <c r="C267" s="4" t="s">
        <v>24</v>
      </c>
      <c r="D267" s="5" t="s">
        <v>0</v>
      </c>
      <c r="E267" s="5"/>
      <c r="F267" s="5" t="s">
        <v>1</v>
      </c>
      <c r="G267" s="5" t="s">
        <v>1</v>
      </c>
      <c r="H267" s="17" t="str">
        <f t="shared" si="112"/>
        <v>""</v>
      </c>
      <c r="I267" s="5" t="s">
        <v>46</v>
      </c>
      <c r="J267" s="5" t="s">
        <v>46</v>
      </c>
      <c r="K267" s="5" t="s">
        <v>46</v>
      </c>
      <c r="L267" s="5" t="s">
        <v>46</v>
      </c>
      <c r="M267" s="5" t="s">
        <v>22</v>
      </c>
      <c r="N267" s="8">
        <f t="shared" si="119"/>
        <v>1</v>
      </c>
      <c r="O267" s="5">
        <v>0</v>
      </c>
      <c r="P267" s="5">
        <v>0</v>
      </c>
      <c r="Q267" s="5" t="s">
        <v>23</v>
      </c>
      <c r="R267" s="5" t="s">
        <v>23</v>
      </c>
      <c r="S267" s="5" t="s">
        <v>23</v>
      </c>
      <c r="T267" s="5" t="s">
        <v>46</v>
      </c>
      <c r="U267" s="5" t="s">
        <v>46</v>
      </c>
      <c r="V267" s="5" t="s">
        <v>46</v>
      </c>
      <c r="W267" s="5">
        <v>0</v>
      </c>
      <c r="X267" s="10" t="s">
        <v>77</v>
      </c>
      <c r="Y267" s="10"/>
      <c r="Z267" s="10"/>
      <c r="AB267" s="2" t="str">
        <f t="shared" si="120"/>
        <v xml:space="preserve">/*19*/{" ","","","","",false,false,false,false,10.0,1,0,0,0.0,0.0,0.0,false,false,false,0},//. </v>
      </c>
      <c r="AD267" s="12" t="str">
        <f>IF(X267="Да",CONCATENATE("float &amp;",SUBSTITUTE(Z267," ","")," = Screens[",$A$245,"][",A267,"].Param;// Ссылка. ",$Y$32,". ",Y267),"")</f>
        <v/>
      </c>
      <c r="AE267" s="12" t="str">
        <f>IF(X267="Да",CONCATENATE("float ",SUBSTITUTE(Z267," ","")," = Screens[",$A$245,"][",A267,"].Param;//",$Y$32,". ",Y267),"")</f>
        <v/>
      </c>
      <c r="AH267" s="12" t="str">
        <f>IF(X267="Да",CONCATENATE("Ref.",,SUBSTITUTE(Z267," ","")," = ",$AI$1,$B$245,SUBSTITUTE(E267," ",""),";//",$Y$32,". ",Y267),"")</f>
        <v/>
      </c>
      <c r="AI267" s="12" t="str">
        <f t="shared" si="116"/>
        <v/>
      </c>
      <c r="AJ267" s="12" t="str">
        <f t="shared" ref="AJ267" si="121">IF(X267="Да",CONCATENATE($AI$1,SUBSTITUTE(Z267," ","")," = ",M267,";//",$Y$32,". ",Y267),"")</f>
        <v/>
      </c>
    </row>
    <row r="268" spans="1:36" x14ac:dyDescent="0.25">
      <c r="AB268" s="3" t="s">
        <v>25</v>
      </c>
    </row>
    <row r="269" spans="1:36" x14ac:dyDescent="0.25">
      <c r="A269" s="14">
        <f>A245+1</f>
        <v>11</v>
      </c>
      <c r="D269" s="7" t="s">
        <v>65</v>
      </c>
      <c r="AB269" s="3" t="s">
        <v>51</v>
      </c>
    </row>
    <row r="270" spans="1:36" ht="45" x14ac:dyDescent="0.25">
      <c r="A270" s="15" t="s">
        <v>78</v>
      </c>
      <c r="B270" s="18"/>
      <c r="C270" s="6" t="s">
        <v>25</v>
      </c>
      <c r="D270" s="6" t="s">
        <v>17</v>
      </c>
      <c r="E270" s="6" t="s">
        <v>18</v>
      </c>
      <c r="F270" s="6" t="s">
        <v>19</v>
      </c>
      <c r="G270" s="6" t="s">
        <v>20</v>
      </c>
      <c r="H270" s="6" t="s">
        <v>21</v>
      </c>
      <c r="I270" s="6" t="s">
        <v>2</v>
      </c>
      <c r="J270" s="6" t="s">
        <v>3</v>
      </c>
      <c r="K270" s="6" t="s">
        <v>4</v>
      </c>
      <c r="L270" s="6" t="s">
        <v>5</v>
      </c>
      <c r="M270" s="6" t="s">
        <v>6</v>
      </c>
      <c r="N270" s="6" t="s">
        <v>7</v>
      </c>
      <c r="O270" s="6" t="s">
        <v>8</v>
      </c>
      <c r="P270" s="6" t="s">
        <v>9</v>
      </c>
      <c r="Q270" s="6" t="s">
        <v>10</v>
      </c>
      <c r="R270" s="6" t="s">
        <v>11</v>
      </c>
      <c r="S270" s="6" t="s">
        <v>12</v>
      </c>
      <c r="T270" s="6" t="s">
        <v>13</v>
      </c>
      <c r="U270" s="6" t="s">
        <v>14</v>
      </c>
      <c r="V270" s="6" t="s">
        <v>15</v>
      </c>
      <c r="W270" s="6" t="s">
        <v>16</v>
      </c>
      <c r="X270" s="6" t="s">
        <v>76</v>
      </c>
      <c r="Y270" s="6" t="s">
        <v>80</v>
      </c>
      <c r="Z270" s="6" t="s">
        <v>97</v>
      </c>
      <c r="AA270" s="1"/>
      <c r="AB270" s="2" t="str">
        <f>CONCATENATE(D269," - ",E272)</f>
        <v xml:space="preserve">//Экран 11 - </v>
      </c>
    </row>
    <row r="271" spans="1:36" x14ac:dyDescent="0.25">
      <c r="A271" s="16"/>
      <c r="B271" s="13"/>
      <c r="C271" s="4" t="s">
        <v>24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11"/>
      <c r="Y271" s="11"/>
      <c r="Z271" s="11"/>
      <c r="AA271" s="1"/>
      <c r="AB271" s="3" t="str">
        <f>C271</f>
        <v>{</v>
      </c>
    </row>
    <row r="272" spans="1:36" x14ac:dyDescent="0.25">
      <c r="A272" s="17">
        <v>0</v>
      </c>
      <c r="B272" s="8" t="s">
        <v>27</v>
      </c>
      <c r="C272" s="4" t="s">
        <v>24</v>
      </c>
      <c r="D272" s="5" t="s">
        <v>0</v>
      </c>
      <c r="E272" s="5"/>
      <c r="F272" s="5" t="s">
        <v>1</v>
      </c>
      <c r="G272" s="5" t="s">
        <v>1</v>
      </c>
      <c r="H272" s="17" t="str">
        <f t="shared" ref="H272:H291" si="122">IF(AND(I272="true",J272="false"),""" ""","""""")</f>
        <v>""</v>
      </c>
      <c r="I272" s="5" t="s">
        <v>46</v>
      </c>
      <c r="J272" s="5" t="s">
        <v>46</v>
      </c>
      <c r="K272" s="5" t="s">
        <v>46</v>
      </c>
      <c r="L272" s="5" t="s">
        <v>47</v>
      </c>
      <c r="M272" s="5" t="s">
        <v>22</v>
      </c>
      <c r="N272" s="8">
        <v>1</v>
      </c>
      <c r="O272" s="5">
        <v>0</v>
      </c>
      <c r="P272" s="5">
        <v>0</v>
      </c>
      <c r="Q272" s="5" t="s">
        <v>48</v>
      </c>
      <c r="R272" s="5" t="s">
        <v>23</v>
      </c>
      <c r="S272" s="5" t="s">
        <v>49</v>
      </c>
      <c r="T272" s="5" t="s">
        <v>46</v>
      </c>
      <c r="U272" s="5" t="s">
        <v>46</v>
      </c>
      <c r="V272" s="5" t="s">
        <v>46</v>
      </c>
      <c r="W272" s="5">
        <v>0</v>
      </c>
      <c r="X272" s="10" t="s">
        <v>77</v>
      </c>
      <c r="Y272" s="10"/>
      <c r="Z272" s="10"/>
      <c r="AB272" s="2" t="str">
        <f>CONCATENATE(B272,C272,D272,",""",E272,""",",F272,",",G272,",",H272,",",I272,",",J272,",",K272,",",L272,",",M272,",",N272,",",O272,",",P272,",",Q272,",",R272,",",S272,",",T272,",",U272,",",V272,",",W272,"},//",Y272)</f>
        <v>/*0*/{" ","","","","",false,false,false,true,10.0,1,0,0,100.0,0.0,0.1,false,false,false,0},//</v>
      </c>
      <c r="AD272" s="12" t="str">
        <f t="shared" ref="AD272:AD290" si="123">IF(X272="Да",IF(T272="false",CONCATENATE("float &amp;",SUBSTITUTE(Z272," ","")," = Screens[",$A$269,"][",A272,"].Param;// Ссылка. ",$Y$32,". ",Y272),CONCATENATE("bool &amp;",SUBSTITUTE(Z272," ","")," = Screens[",$A$269,"][",A272,"].BoolParam;// Ссылка. ",$Y$32,". ",Y272)),"")</f>
        <v/>
      </c>
      <c r="AE272" s="12" t="str">
        <f t="shared" ref="AE272:AE290" si="124">IF(X272="Да",IF(T272="false",CONCATENATE("float ",SUBSTITUTE(Z272," ","")," = Screens[",$A$269,"][",A272,"].Param;//",$Y$32,". ",Y272),CONCATENATE("bool ",SUBSTITUTE(Z272," ","")," = Screens[",$A$269,"][",A272,"].BoolParam;//",$Y$32,". ",Y272)),"")</f>
        <v/>
      </c>
      <c r="AH272" s="12" t="str">
        <f t="shared" ref="AH272:AH290" si="125">IF(X272="Да",CONCATENATE("Ref.",,SUBSTITUTE(Z272," ","")," = ",$AI$1,SUBSTITUTE(Z272," ",""),";//",$Y$32,". ",Y272),"")</f>
        <v/>
      </c>
      <c r="AI272" s="12" t="str">
        <f t="shared" ref="AI272:AI291" si="126">IF(X272="Да",CONCATENATE($AI$1,SUBSTITUTE(Z272," ","")," = Ref.",SUBSTITUTE(Z272," ",""),";//",$Y$32,". ",Y272),"")</f>
        <v/>
      </c>
      <c r="AJ272" s="12" t="str">
        <f t="shared" ref="AJ272:AJ290" si="127">IF(X272="Да",IF(T272="false",CONCATENATE($AI$1,SUBSTITUTE(Z272," ","")," = ",M272,";//",$Y$32,". ",Y272),CONCATENATE($AI$1,SUBSTITUTE(Z272," ","")," = ",U272,";//",$Y$32,". ",Y272)),"")</f>
        <v/>
      </c>
    </row>
    <row r="273" spans="1:36" x14ac:dyDescent="0.25">
      <c r="A273" s="17">
        <f>A272+1</f>
        <v>1</v>
      </c>
      <c r="B273" s="8" t="s">
        <v>26</v>
      </c>
      <c r="C273" s="4" t="s">
        <v>24</v>
      </c>
      <c r="D273" s="5" t="s">
        <v>0</v>
      </c>
      <c r="E273" s="5"/>
      <c r="F273" s="5" t="s">
        <v>1</v>
      </c>
      <c r="G273" s="5" t="s">
        <v>1</v>
      </c>
      <c r="H273" s="17" t="str">
        <f t="shared" si="122"/>
        <v>""</v>
      </c>
      <c r="I273" s="5" t="s">
        <v>46</v>
      </c>
      <c r="J273" s="5" t="s">
        <v>46</v>
      </c>
      <c r="K273" s="5" t="s">
        <v>46</v>
      </c>
      <c r="L273" s="5" t="s">
        <v>46</v>
      </c>
      <c r="M273" s="5" t="s">
        <v>22</v>
      </c>
      <c r="N273" s="8">
        <f>N272</f>
        <v>1</v>
      </c>
      <c r="O273" s="5">
        <v>0</v>
      </c>
      <c r="P273" s="5">
        <v>0</v>
      </c>
      <c r="Q273" s="5" t="s">
        <v>23</v>
      </c>
      <c r="R273" s="5" t="s">
        <v>23</v>
      </c>
      <c r="S273" s="5" t="s">
        <v>23</v>
      </c>
      <c r="T273" s="5" t="s">
        <v>46</v>
      </c>
      <c r="U273" s="5" t="s">
        <v>46</v>
      </c>
      <c r="V273" s="5" t="s">
        <v>46</v>
      </c>
      <c r="W273" s="5">
        <v>0</v>
      </c>
      <c r="X273" s="10" t="s">
        <v>77</v>
      </c>
      <c r="Y273" s="10"/>
      <c r="Z273" s="10"/>
      <c r="AB273" s="2" t="str">
        <f>CONCATENATE(B273,C273,D273,",""",E273,""",",F273,",",G273,",",H273,",",I273,",",J273,",",K273,",",L273,",",M273,",",N273,",",O273,",",P273,",",Q273,",",R273,",",S273,",",T273,",",U273,",",V273,",",W273,"},//",Y$273,". ",Y273)</f>
        <v xml:space="preserve">/*1*/{" ","","","","",false,false,false,false,10.0,1,0,0,0.0,0.0,0.0,false,false,false,0},//. </v>
      </c>
      <c r="AD273" s="12" t="str">
        <f t="shared" si="123"/>
        <v/>
      </c>
      <c r="AE273" s="12" t="str">
        <f t="shared" si="124"/>
        <v/>
      </c>
      <c r="AH273" s="12" t="str">
        <f t="shared" si="125"/>
        <v/>
      </c>
      <c r="AI273" s="12" t="str">
        <f t="shared" si="126"/>
        <v/>
      </c>
      <c r="AJ273" s="12" t="str">
        <f t="shared" si="127"/>
        <v/>
      </c>
    </row>
    <row r="274" spans="1:36" x14ac:dyDescent="0.25">
      <c r="A274" s="17">
        <f t="shared" ref="A274:A291" si="128">A273+1</f>
        <v>2</v>
      </c>
      <c r="B274" s="8" t="s">
        <v>28</v>
      </c>
      <c r="C274" s="4" t="s">
        <v>24</v>
      </c>
      <c r="D274" s="5" t="s">
        <v>0</v>
      </c>
      <c r="E274" s="5"/>
      <c r="F274" s="5" t="s">
        <v>1</v>
      </c>
      <c r="G274" s="5" t="s">
        <v>1</v>
      </c>
      <c r="H274" s="17" t="str">
        <f t="shared" si="122"/>
        <v>""</v>
      </c>
      <c r="I274" s="5" t="s">
        <v>46</v>
      </c>
      <c r="J274" s="5" t="s">
        <v>46</v>
      </c>
      <c r="K274" s="5" t="s">
        <v>46</v>
      </c>
      <c r="L274" s="5" t="s">
        <v>46</v>
      </c>
      <c r="M274" s="5" t="s">
        <v>22</v>
      </c>
      <c r="N274" s="8">
        <f t="shared" ref="N274:N291" si="129">N273</f>
        <v>1</v>
      </c>
      <c r="O274" s="5">
        <v>0</v>
      </c>
      <c r="P274" s="5">
        <v>0</v>
      </c>
      <c r="Q274" s="5" t="s">
        <v>23</v>
      </c>
      <c r="R274" s="5" t="s">
        <v>23</v>
      </c>
      <c r="S274" s="5" t="s">
        <v>23</v>
      </c>
      <c r="T274" s="5" t="s">
        <v>46</v>
      </c>
      <c r="U274" s="5" t="s">
        <v>46</v>
      </c>
      <c r="V274" s="5" t="s">
        <v>46</v>
      </c>
      <c r="W274" s="5">
        <v>0</v>
      </c>
      <c r="X274" s="10" t="s">
        <v>77</v>
      </c>
      <c r="Y274" s="10"/>
      <c r="Z274" s="10"/>
      <c r="AB274" s="2" t="str">
        <f t="shared" ref="AB274:AB291" si="130">CONCATENATE(B274,C274,D274,",""",E274,""",",F274,",",G274,",",H274,",",I274,",",J274,",",K274,",",L274,",",M274,",",N274,",",O274,",",P274,",",Q274,",",R274,",",S274,",",T274,",",U274,",",V274,",",W274,"},//",Y$273,". ",Y274)</f>
        <v xml:space="preserve">/*2*/{" ","","","","",false,false,false,false,10.0,1,0,0,0.0,0.0,0.0,false,false,false,0},//. </v>
      </c>
      <c r="AD274" s="12" t="str">
        <f t="shared" si="123"/>
        <v/>
      </c>
      <c r="AE274" s="12" t="str">
        <f t="shared" si="124"/>
        <v/>
      </c>
      <c r="AH274" s="12" t="str">
        <f t="shared" si="125"/>
        <v/>
      </c>
      <c r="AI274" s="12" t="str">
        <f t="shared" si="126"/>
        <v/>
      </c>
      <c r="AJ274" s="12" t="str">
        <f t="shared" si="127"/>
        <v/>
      </c>
    </row>
    <row r="275" spans="1:36" x14ac:dyDescent="0.25">
      <c r="A275" s="17">
        <f t="shared" si="128"/>
        <v>3</v>
      </c>
      <c r="B275" s="8" t="s">
        <v>29</v>
      </c>
      <c r="C275" s="4" t="s">
        <v>24</v>
      </c>
      <c r="D275" s="5" t="s">
        <v>0</v>
      </c>
      <c r="E275" s="5"/>
      <c r="F275" s="5" t="s">
        <v>1</v>
      </c>
      <c r="G275" s="5" t="s">
        <v>1</v>
      </c>
      <c r="H275" s="17" t="str">
        <f t="shared" si="122"/>
        <v>""</v>
      </c>
      <c r="I275" s="5" t="s">
        <v>46</v>
      </c>
      <c r="J275" s="5" t="s">
        <v>46</v>
      </c>
      <c r="K275" s="5" t="s">
        <v>46</v>
      </c>
      <c r="L275" s="5" t="s">
        <v>46</v>
      </c>
      <c r="M275" s="5" t="s">
        <v>22</v>
      </c>
      <c r="N275" s="8">
        <f t="shared" si="129"/>
        <v>1</v>
      </c>
      <c r="O275" s="5">
        <v>2</v>
      </c>
      <c r="P275" s="5">
        <v>0</v>
      </c>
      <c r="Q275" s="5" t="s">
        <v>23</v>
      </c>
      <c r="R275" s="5" t="s">
        <v>23</v>
      </c>
      <c r="S275" s="5" t="s">
        <v>23</v>
      </c>
      <c r="T275" s="5" t="s">
        <v>46</v>
      </c>
      <c r="U275" s="5" t="s">
        <v>46</v>
      </c>
      <c r="V275" s="5" t="s">
        <v>46</v>
      </c>
      <c r="W275" s="5">
        <v>0</v>
      </c>
      <c r="X275" s="10" t="s">
        <v>77</v>
      </c>
      <c r="Y275" s="10"/>
      <c r="Z275" s="10"/>
      <c r="AB275" s="2" t="str">
        <f t="shared" si="130"/>
        <v xml:space="preserve">/*3*/{" ","","","","",false,false,false,false,10.0,1,2,0,0.0,0.0,0.0,false,false,false,0},//. </v>
      </c>
      <c r="AD275" s="12" t="str">
        <f t="shared" si="123"/>
        <v/>
      </c>
      <c r="AE275" s="12" t="str">
        <f t="shared" si="124"/>
        <v/>
      </c>
      <c r="AH275" s="12" t="str">
        <f t="shared" si="125"/>
        <v/>
      </c>
      <c r="AI275" s="12" t="str">
        <f t="shared" si="126"/>
        <v/>
      </c>
      <c r="AJ275" s="12" t="str">
        <f t="shared" si="127"/>
        <v/>
      </c>
    </row>
    <row r="276" spans="1:36" x14ac:dyDescent="0.25">
      <c r="A276" s="17">
        <f t="shared" si="128"/>
        <v>4</v>
      </c>
      <c r="B276" s="8" t="s">
        <v>30</v>
      </c>
      <c r="C276" s="4" t="s">
        <v>24</v>
      </c>
      <c r="D276" s="5" t="s">
        <v>0</v>
      </c>
      <c r="E276" s="5"/>
      <c r="F276" s="5" t="s">
        <v>1</v>
      </c>
      <c r="G276" s="5" t="s">
        <v>1</v>
      </c>
      <c r="H276" s="17" t="str">
        <f t="shared" si="122"/>
        <v>""</v>
      </c>
      <c r="I276" s="5" t="s">
        <v>46</v>
      </c>
      <c r="J276" s="5" t="s">
        <v>46</v>
      </c>
      <c r="K276" s="5" t="s">
        <v>46</v>
      </c>
      <c r="L276" s="5" t="s">
        <v>46</v>
      </c>
      <c r="M276" s="5" t="s">
        <v>22</v>
      </c>
      <c r="N276" s="8">
        <f t="shared" si="129"/>
        <v>1</v>
      </c>
      <c r="O276" s="5">
        <v>0</v>
      </c>
      <c r="P276" s="5">
        <v>0</v>
      </c>
      <c r="Q276" s="5" t="s">
        <v>23</v>
      </c>
      <c r="R276" s="5" t="s">
        <v>23</v>
      </c>
      <c r="S276" s="5" t="s">
        <v>23</v>
      </c>
      <c r="T276" s="5" t="s">
        <v>46</v>
      </c>
      <c r="U276" s="5" t="s">
        <v>46</v>
      </c>
      <c r="V276" s="5" t="s">
        <v>46</v>
      </c>
      <c r="W276" s="5">
        <v>0</v>
      </c>
      <c r="X276" s="10" t="s">
        <v>77</v>
      </c>
      <c r="Y276" s="10"/>
      <c r="Z276" s="10"/>
      <c r="AB276" s="2" t="str">
        <f t="shared" si="130"/>
        <v xml:space="preserve">/*4*/{" ","","","","",false,false,false,false,10.0,1,0,0,0.0,0.0,0.0,false,false,false,0},//. </v>
      </c>
      <c r="AD276" s="12" t="str">
        <f t="shared" si="123"/>
        <v/>
      </c>
      <c r="AE276" s="12" t="str">
        <f t="shared" si="124"/>
        <v/>
      </c>
      <c r="AH276" s="12" t="str">
        <f t="shared" si="125"/>
        <v/>
      </c>
      <c r="AI276" s="12" t="str">
        <f t="shared" si="126"/>
        <v/>
      </c>
      <c r="AJ276" s="12" t="str">
        <f t="shared" si="127"/>
        <v/>
      </c>
    </row>
    <row r="277" spans="1:36" x14ac:dyDescent="0.25">
      <c r="A277" s="17">
        <f t="shared" si="128"/>
        <v>5</v>
      </c>
      <c r="B277" s="8" t="s">
        <v>31</v>
      </c>
      <c r="C277" s="4" t="s">
        <v>24</v>
      </c>
      <c r="D277" s="5" t="s">
        <v>0</v>
      </c>
      <c r="E277" s="5"/>
      <c r="F277" s="5" t="s">
        <v>1</v>
      </c>
      <c r="G277" s="5" t="s">
        <v>1</v>
      </c>
      <c r="H277" s="17" t="str">
        <f t="shared" si="122"/>
        <v>""</v>
      </c>
      <c r="I277" s="5" t="s">
        <v>46</v>
      </c>
      <c r="J277" s="5" t="s">
        <v>46</v>
      </c>
      <c r="K277" s="5" t="s">
        <v>46</v>
      </c>
      <c r="L277" s="5" t="s">
        <v>46</v>
      </c>
      <c r="M277" s="5" t="s">
        <v>22</v>
      </c>
      <c r="N277" s="8">
        <f t="shared" si="129"/>
        <v>1</v>
      </c>
      <c r="O277" s="5">
        <v>0</v>
      </c>
      <c r="P277" s="5">
        <v>0</v>
      </c>
      <c r="Q277" s="5" t="s">
        <v>23</v>
      </c>
      <c r="R277" s="5" t="s">
        <v>23</v>
      </c>
      <c r="S277" s="5" t="s">
        <v>23</v>
      </c>
      <c r="T277" s="5" t="s">
        <v>46</v>
      </c>
      <c r="U277" s="5" t="s">
        <v>46</v>
      </c>
      <c r="V277" s="5" t="s">
        <v>46</v>
      </c>
      <c r="W277" s="5">
        <v>0</v>
      </c>
      <c r="X277" s="10" t="s">
        <v>77</v>
      </c>
      <c r="Y277" s="10"/>
      <c r="Z277" s="10"/>
      <c r="AB277" s="2" t="str">
        <f t="shared" si="130"/>
        <v xml:space="preserve">/*5*/{" ","","","","",false,false,false,false,10.0,1,0,0,0.0,0.0,0.0,false,false,false,0},//. </v>
      </c>
      <c r="AD277" s="12" t="str">
        <f t="shared" si="123"/>
        <v/>
      </c>
      <c r="AE277" s="12" t="str">
        <f t="shared" si="124"/>
        <v/>
      </c>
      <c r="AH277" s="12" t="str">
        <f t="shared" si="125"/>
        <v/>
      </c>
      <c r="AI277" s="12" t="str">
        <f t="shared" si="126"/>
        <v/>
      </c>
      <c r="AJ277" s="12" t="str">
        <f t="shared" si="127"/>
        <v/>
      </c>
    </row>
    <row r="278" spans="1:36" x14ac:dyDescent="0.25">
      <c r="A278" s="17">
        <f t="shared" si="128"/>
        <v>6</v>
      </c>
      <c r="B278" s="8" t="s">
        <v>32</v>
      </c>
      <c r="C278" s="4" t="s">
        <v>24</v>
      </c>
      <c r="D278" s="5" t="s">
        <v>0</v>
      </c>
      <c r="E278" s="5"/>
      <c r="F278" s="5" t="s">
        <v>1</v>
      </c>
      <c r="G278" s="5" t="s">
        <v>1</v>
      </c>
      <c r="H278" s="17" t="str">
        <f t="shared" si="122"/>
        <v>""</v>
      </c>
      <c r="I278" s="5" t="s">
        <v>46</v>
      </c>
      <c r="J278" s="5" t="s">
        <v>46</v>
      </c>
      <c r="K278" s="5" t="s">
        <v>46</v>
      </c>
      <c r="L278" s="5" t="s">
        <v>46</v>
      </c>
      <c r="M278" s="5" t="s">
        <v>22</v>
      </c>
      <c r="N278" s="8">
        <f t="shared" si="129"/>
        <v>1</v>
      </c>
      <c r="O278" s="5">
        <v>0</v>
      </c>
      <c r="P278" s="5">
        <v>0</v>
      </c>
      <c r="Q278" s="5" t="s">
        <v>23</v>
      </c>
      <c r="R278" s="5" t="s">
        <v>23</v>
      </c>
      <c r="S278" s="5" t="s">
        <v>23</v>
      </c>
      <c r="T278" s="5" t="s">
        <v>46</v>
      </c>
      <c r="U278" s="5" t="s">
        <v>46</v>
      </c>
      <c r="V278" s="5" t="s">
        <v>46</v>
      </c>
      <c r="W278" s="5">
        <v>0</v>
      </c>
      <c r="X278" s="10" t="s">
        <v>77</v>
      </c>
      <c r="Y278" s="10"/>
      <c r="Z278" s="10"/>
      <c r="AB278" s="2" t="str">
        <f t="shared" si="130"/>
        <v xml:space="preserve">/*6*/{" ","","","","",false,false,false,false,10.0,1,0,0,0.0,0.0,0.0,false,false,false,0},//. </v>
      </c>
      <c r="AD278" s="12" t="str">
        <f t="shared" si="123"/>
        <v/>
      </c>
      <c r="AE278" s="12" t="str">
        <f t="shared" si="124"/>
        <v/>
      </c>
      <c r="AH278" s="12" t="str">
        <f t="shared" si="125"/>
        <v/>
      </c>
      <c r="AI278" s="12" t="str">
        <f t="shared" si="126"/>
        <v/>
      </c>
      <c r="AJ278" s="12" t="str">
        <f t="shared" si="127"/>
        <v/>
      </c>
    </row>
    <row r="279" spans="1:36" x14ac:dyDescent="0.25">
      <c r="A279" s="17">
        <f t="shared" si="128"/>
        <v>7</v>
      </c>
      <c r="B279" s="8" t="s">
        <v>33</v>
      </c>
      <c r="C279" s="4" t="s">
        <v>24</v>
      </c>
      <c r="D279" s="5" t="s">
        <v>0</v>
      </c>
      <c r="E279" s="5"/>
      <c r="F279" s="5" t="s">
        <v>1</v>
      </c>
      <c r="G279" s="5" t="s">
        <v>1</v>
      </c>
      <c r="H279" s="17" t="str">
        <f t="shared" si="122"/>
        <v>""</v>
      </c>
      <c r="I279" s="5" t="s">
        <v>46</v>
      </c>
      <c r="J279" s="5" t="s">
        <v>46</v>
      </c>
      <c r="K279" s="5" t="s">
        <v>46</v>
      </c>
      <c r="L279" s="5" t="s">
        <v>46</v>
      </c>
      <c r="M279" s="5" t="s">
        <v>22</v>
      </c>
      <c r="N279" s="8">
        <f t="shared" si="129"/>
        <v>1</v>
      </c>
      <c r="O279" s="5">
        <v>0</v>
      </c>
      <c r="P279" s="5">
        <v>0</v>
      </c>
      <c r="Q279" s="5" t="s">
        <v>23</v>
      </c>
      <c r="R279" s="5" t="s">
        <v>23</v>
      </c>
      <c r="S279" s="5" t="s">
        <v>23</v>
      </c>
      <c r="T279" s="5" t="s">
        <v>46</v>
      </c>
      <c r="U279" s="5" t="s">
        <v>46</v>
      </c>
      <c r="V279" s="5" t="s">
        <v>46</v>
      </c>
      <c r="W279" s="5">
        <v>0</v>
      </c>
      <c r="X279" s="10" t="s">
        <v>77</v>
      </c>
      <c r="Y279" s="10"/>
      <c r="Z279" s="10"/>
      <c r="AB279" s="2" t="str">
        <f t="shared" si="130"/>
        <v xml:space="preserve">/*7*/{" ","","","","",false,false,false,false,10.0,1,0,0,0.0,0.0,0.0,false,false,false,0},//. </v>
      </c>
      <c r="AD279" s="12" t="str">
        <f t="shared" si="123"/>
        <v/>
      </c>
      <c r="AE279" s="12" t="str">
        <f t="shared" si="124"/>
        <v/>
      </c>
      <c r="AH279" s="12" t="str">
        <f t="shared" si="125"/>
        <v/>
      </c>
      <c r="AI279" s="12" t="str">
        <f t="shared" si="126"/>
        <v/>
      </c>
      <c r="AJ279" s="12" t="str">
        <f t="shared" si="127"/>
        <v/>
      </c>
    </row>
    <row r="280" spans="1:36" x14ac:dyDescent="0.25">
      <c r="A280" s="17">
        <f t="shared" si="128"/>
        <v>8</v>
      </c>
      <c r="B280" s="8" t="s">
        <v>34</v>
      </c>
      <c r="C280" s="4" t="s">
        <v>24</v>
      </c>
      <c r="D280" s="5" t="s">
        <v>0</v>
      </c>
      <c r="E280" s="5"/>
      <c r="F280" s="5" t="s">
        <v>1</v>
      </c>
      <c r="G280" s="5" t="s">
        <v>1</v>
      </c>
      <c r="H280" s="17" t="str">
        <f t="shared" si="122"/>
        <v>""</v>
      </c>
      <c r="I280" s="5" t="s">
        <v>46</v>
      </c>
      <c r="J280" s="5" t="s">
        <v>46</v>
      </c>
      <c r="K280" s="5" t="s">
        <v>46</v>
      </c>
      <c r="L280" s="5" t="s">
        <v>46</v>
      </c>
      <c r="M280" s="5" t="s">
        <v>22</v>
      </c>
      <c r="N280" s="8">
        <f t="shared" si="129"/>
        <v>1</v>
      </c>
      <c r="O280" s="5">
        <v>0</v>
      </c>
      <c r="P280" s="5">
        <v>0</v>
      </c>
      <c r="Q280" s="5" t="s">
        <v>23</v>
      </c>
      <c r="R280" s="5" t="s">
        <v>23</v>
      </c>
      <c r="S280" s="5" t="s">
        <v>23</v>
      </c>
      <c r="T280" s="5" t="s">
        <v>46</v>
      </c>
      <c r="U280" s="5" t="s">
        <v>46</v>
      </c>
      <c r="V280" s="5" t="s">
        <v>46</v>
      </c>
      <c r="W280" s="5">
        <v>0</v>
      </c>
      <c r="X280" s="10" t="s">
        <v>77</v>
      </c>
      <c r="Y280" s="10"/>
      <c r="Z280" s="10"/>
      <c r="AB280" s="2" t="str">
        <f t="shared" si="130"/>
        <v xml:space="preserve">/*8*/{" ","","","","",false,false,false,false,10.0,1,0,0,0.0,0.0,0.0,false,false,false,0},//. </v>
      </c>
      <c r="AD280" s="12" t="str">
        <f t="shared" si="123"/>
        <v/>
      </c>
      <c r="AE280" s="12" t="str">
        <f t="shared" si="124"/>
        <v/>
      </c>
      <c r="AH280" s="12" t="str">
        <f t="shared" si="125"/>
        <v/>
      </c>
      <c r="AI280" s="12" t="str">
        <f t="shared" si="126"/>
        <v/>
      </c>
      <c r="AJ280" s="12" t="str">
        <f t="shared" si="127"/>
        <v/>
      </c>
    </row>
    <row r="281" spans="1:36" x14ac:dyDescent="0.25">
      <c r="A281" s="17">
        <f t="shared" si="128"/>
        <v>9</v>
      </c>
      <c r="B281" s="8" t="s">
        <v>35</v>
      </c>
      <c r="C281" s="4" t="s">
        <v>24</v>
      </c>
      <c r="D281" s="5" t="s">
        <v>0</v>
      </c>
      <c r="E281" s="5"/>
      <c r="F281" s="5" t="s">
        <v>1</v>
      </c>
      <c r="G281" s="5" t="s">
        <v>1</v>
      </c>
      <c r="H281" s="17" t="str">
        <f t="shared" si="122"/>
        <v>""</v>
      </c>
      <c r="I281" s="5" t="s">
        <v>46</v>
      </c>
      <c r="J281" s="5" t="s">
        <v>46</v>
      </c>
      <c r="K281" s="5" t="s">
        <v>46</v>
      </c>
      <c r="L281" s="5" t="s">
        <v>46</v>
      </c>
      <c r="M281" s="5" t="s">
        <v>22</v>
      </c>
      <c r="N281" s="8">
        <f t="shared" si="129"/>
        <v>1</v>
      </c>
      <c r="O281" s="5">
        <v>0</v>
      </c>
      <c r="P281" s="5">
        <v>0</v>
      </c>
      <c r="Q281" s="5" t="s">
        <v>23</v>
      </c>
      <c r="R281" s="5" t="s">
        <v>23</v>
      </c>
      <c r="S281" s="5" t="s">
        <v>23</v>
      </c>
      <c r="T281" s="5" t="s">
        <v>46</v>
      </c>
      <c r="U281" s="5" t="s">
        <v>46</v>
      </c>
      <c r="V281" s="5" t="s">
        <v>46</v>
      </c>
      <c r="W281" s="5">
        <v>0</v>
      </c>
      <c r="X281" s="10" t="s">
        <v>77</v>
      </c>
      <c r="Y281" s="10"/>
      <c r="Z281" s="10"/>
      <c r="AB281" s="2" t="str">
        <f t="shared" si="130"/>
        <v xml:space="preserve">/*9*/{" ","","","","",false,false,false,false,10.0,1,0,0,0.0,0.0,0.0,false,false,false,0},//. </v>
      </c>
      <c r="AD281" s="12" t="str">
        <f t="shared" si="123"/>
        <v/>
      </c>
      <c r="AE281" s="12" t="str">
        <f t="shared" si="124"/>
        <v/>
      </c>
      <c r="AH281" s="12" t="str">
        <f t="shared" si="125"/>
        <v/>
      </c>
      <c r="AI281" s="12" t="str">
        <f t="shared" si="126"/>
        <v/>
      </c>
      <c r="AJ281" s="12" t="str">
        <f t="shared" si="127"/>
        <v/>
      </c>
    </row>
    <row r="282" spans="1:36" x14ac:dyDescent="0.25">
      <c r="A282" s="17">
        <f t="shared" si="128"/>
        <v>10</v>
      </c>
      <c r="B282" s="8" t="s">
        <v>36</v>
      </c>
      <c r="C282" s="4" t="s">
        <v>24</v>
      </c>
      <c r="D282" s="5" t="s">
        <v>0</v>
      </c>
      <c r="E282" s="5"/>
      <c r="F282" s="5" t="s">
        <v>1</v>
      </c>
      <c r="G282" s="5" t="s">
        <v>1</v>
      </c>
      <c r="H282" s="17" t="str">
        <f t="shared" si="122"/>
        <v>""</v>
      </c>
      <c r="I282" s="5" t="s">
        <v>46</v>
      </c>
      <c r="J282" s="5" t="s">
        <v>46</v>
      </c>
      <c r="K282" s="5" t="s">
        <v>46</v>
      </c>
      <c r="L282" s="5" t="s">
        <v>46</v>
      </c>
      <c r="M282" s="5" t="s">
        <v>22</v>
      </c>
      <c r="N282" s="8">
        <f t="shared" si="129"/>
        <v>1</v>
      </c>
      <c r="O282" s="5">
        <v>0</v>
      </c>
      <c r="P282" s="5">
        <v>0</v>
      </c>
      <c r="Q282" s="5" t="s">
        <v>23</v>
      </c>
      <c r="R282" s="5" t="s">
        <v>23</v>
      </c>
      <c r="S282" s="5" t="s">
        <v>23</v>
      </c>
      <c r="T282" s="5" t="s">
        <v>46</v>
      </c>
      <c r="U282" s="5" t="s">
        <v>46</v>
      </c>
      <c r="V282" s="5" t="s">
        <v>46</v>
      </c>
      <c r="W282" s="5">
        <v>0</v>
      </c>
      <c r="X282" s="10" t="s">
        <v>77</v>
      </c>
      <c r="Y282" s="10"/>
      <c r="Z282" s="10"/>
      <c r="AB282" s="2" t="str">
        <f t="shared" si="130"/>
        <v xml:space="preserve">/*10*/{" ","","","","",false,false,false,false,10.0,1,0,0,0.0,0.0,0.0,false,false,false,0},//. </v>
      </c>
      <c r="AD282" s="12" t="str">
        <f t="shared" si="123"/>
        <v/>
      </c>
      <c r="AE282" s="12" t="str">
        <f t="shared" si="124"/>
        <v/>
      </c>
      <c r="AH282" s="12" t="str">
        <f t="shared" si="125"/>
        <v/>
      </c>
      <c r="AI282" s="12" t="str">
        <f t="shared" si="126"/>
        <v/>
      </c>
      <c r="AJ282" s="12" t="str">
        <f t="shared" si="127"/>
        <v/>
      </c>
    </row>
    <row r="283" spans="1:36" x14ac:dyDescent="0.25">
      <c r="A283" s="17">
        <f t="shared" si="128"/>
        <v>11</v>
      </c>
      <c r="B283" s="8" t="s">
        <v>37</v>
      </c>
      <c r="C283" s="4" t="s">
        <v>24</v>
      </c>
      <c r="D283" s="5" t="s">
        <v>0</v>
      </c>
      <c r="E283" s="5"/>
      <c r="F283" s="5" t="s">
        <v>1</v>
      </c>
      <c r="G283" s="5" t="s">
        <v>1</v>
      </c>
      <c r="H283" s="17" t="str">
        <f t="shared" si="122"/>
        <v>""</v>
      </c>
      <c r="I283" s="5" t="s">
        <v>46</v>
      </c>
      <c r="J283" s="5" t="s">
        <v>46</v>
      </c>
      <c r="K283" s="5" t="s">
        <v>46</v>
      </c>
      <c r="L283" s="5" t="s">
        <v>46</v>
      </c>
      <c r="M283" s="5" t="s">
        <v>22</v>
      </c>
      <c r="N283" s="8">
        <f t="shared" si="129"/>
        <v>1</v>
      </c>
      <c r="O283" s="5">
        <v>0</v>
      </c>
      <c r="P283" s="5">
        <v>0</v>
      </c>
      <c r="Q283" s="5" t="s">
        <v>23</v>
      </c>
      <c r="R283" s="5" t="s">
        <v>23</v>
      </c>
      <c r="S283" s="5" t="s">
        <v>23</v>
      </c>
      <c r="T283" s="5" t="s">
        <v>46</v>
      </c>
      <c r="U283" s="5" t="s">
        <v>46</v>
      </c>
      <c r="V283" s="5" t="s">
        <v>46</v>
      </c>
      <c r="W283" s="5">
        <v>0</v>
      </c>
      <c r="X283" s="10" t="s">
        <v>77</v>
      </c>
      <c r="Y283" s="10"/>
      <c r="Z283" s="10"/>
      <c r="AB283" s="2" t="str">
        <f t="shared" si="130"/>
        <v xml:space="preserve">/*11*/{" ","","","","",false,false,false,false,10.0,1,0,0,0.0,0.0,0.0,false,false,false,0},//. </v>
      </c>
      <c r="AD283" s="12" t="str">
        <f t="shared" si="123"/>
        <v/>
      </c>
      <c r="AE283" s="12" t="str">
        <f t="shared" si="124"/>
        <v/>
      </c>
      <c r="AH283" s="12" t="str">
        <f t="shared" si="125"/>
        <v/>
      </c>
      <c r="AI283" s="12" t="str">
        <f t="shared" si="126"/>
        <v/>
      </c>
      <c r="AJ283" s="12" t="str">
        <f t="shared" si="127"/>
        <v/>
      </c>
    </row>
    <row r="284" spans="1:36" x14ac:dyDescent="0.25">
      <c r="A284" s="17">
        <f t="shared" si="128"/>
        <v>12</v>
      </c>
      <c r="B284" s="8" t="s">
        <v>38</v>
      </c>
      <c r="C284" s="4" t="s">
        <v>24</v>
      </c>
      <c r="D284" s="5" t="s">
        <v>0</v>
      </c>
      <c r="E284" s="5"/>
      <c r="F284" s="5" t="s">
        <v>1</v>
      </c>
      <c r="G284" s="5" t="s">
        <v>1</v>
      </c>
      <c r="H284" s="17" t="str">
        <f t="shared" si="122"/>
        <v>""</v>
      </c>
      <c r="I284" s="5" t="s">
        <v>46</v>
      </c>
      <c r="J284" s="5" t="s">
        <v>46</v>
      </c>
      <c r="K284" s="5" t="s">
        <v>46</v>
      </c>
      <c r="L284" s="5" t="s">
        <v>46</v>
      </c>
      <c r="M284" s="5" t="s">
        <v>22</v>
      </c>
      <c r="N284" s="8">
        <f t="shared" si="129"/>
        <v>1</v>
      </c>
      <c r="O284" s="5">
        <v>0</v>
      </c>
      <c r="P284" s="5">
        <v>0</v>
      </c>
      <c r="Q284" s="5" t="s">
        <v>23</v>
      </c>
      <c r="R284" s="5" t="s">
        <v>23</v>
      </c>
      <c r="S284" s="5" t="s">
        <v>23</v>
      </c>
      <c r="T284" s="5" t="s">
        <v>46</v>
      </c>
      <c r="U284" s="5" t="s">
        <v>46</v>
      </c>
      <c r="V284" s="5" t="s">
        <v>46</v>
      </c>
      <c r="W284" s="5">
        <v>0</v>
      </c>
      <c r="X284" s="10" t="s">
        <v>77</v>
      </c>
      <c r="Y284" s="10"/>
      <c r="Z284" s="10"/>
      <c r="AB284" s="2" t="str">
        <f t="shared" si="130"/>
        <v xml:space="preserve">/*12*/{" ","","","","",false,false,false,false,10.0,1,0,0,0.0,0.0,0.0,false,false,false,0},//. </v>
      </c>
      <c r="AD284" s="12" t="str">
        <f t="shared" si="123"/>
        <v/>
      </c>
      <c r="AE284" s="12" t="str">
        <f t="shared" si="124"/>
        <v/>
      </c>
      <c r="AH284" s="12" t="str">
        <f t="shared" si="125"/>
        <v/>
      </c>
      <c r="AI284" s="12" t="str">
        <f t="shared" si="126"/>
        <v/>
      </c>
      <c r="AJ284" s="12" t="str">
        <f t="shared" si="127"/>
        <v/>
      </c>
    </row>
    <row r="285" spans="1:36" x14ac:dyDescent="0.25">
      <c r="A285" s="17">
        <f t="shared" si="128"/>
        <v>13</v>
      </c>
      <c r="B285" s="8" t="s">
        <v>39</v>
      </c>
      <c r="C285" s="4" t="s">
        <v>24</v>
      </c>
      <c r="D285" s="5" t="s">
        <v>0</v>
      </c>
      <c r="E285" s="5"/>
      <c r="F285" s="5" t="s">
        <v>1</v>
      </c>
      <c r="G285" s="5" t="s">
        <v>1</v>
      </c>
      <c r="H285" s="17" t="str">
        <f t="shared" si="122"/>
        <v>""</v>
      </c>
      <c r="I285" s="5" t="s">
        <v>46</v>
      </c>
      <c r="J285" s="5" t="s">
        <v>46</v>
      </c>
      <c r="K285" s="5" t="s">
        <v>46</v>
      </c>
      <c r="L285" s="5" t="s">
        <v>46</v>
      </c>
      <c r="M285" s="5" t="s">
        <v>22</v>
      </c>
      <c r="N285" s="8">
        <f t="shared" si="129"/>
        <v>1</v>
      </c>
      <c r="O285" s="5">
        <v>0</v>
      </c>
      <c r="P285" s="5">
        <v>0</v>
      </c>
      <c r="Q285" s="5" t="s">
        <v>23</v>
      </c>
      <c r="R285" s="5" t="s">
        <v>23</v>
      </c>
      <c r="S285" s="5" t="s">
        <v>23</v>
      </c>
      <c r="T285" s="5" t="s">
        <v>46</v>
      </c>
      <c r="U285" s="5" t="s">
        <v>46</v>
      </c>
      <c r="V285" s="5" t="s">
        <v>46</v>
      </c>
      <c r="W285" s="5">
        <v>0</v>
      </c>
      <c r="X285" s="10" t="s">
        <v>77</v>
      </c>
      <c r="Y285" s="10"/>
      <c r="Z285" s="10"/>
      <c r="AB285" s="2" t="str">
        <f t="shared" si="130"/>
        <v xml:space="preserve">/*13*/{" ","","","","",false,false,false,false,10.0,1,0,0,0.0,0.0,0.0,false,false,false,0},//. </v>
      </c>
      <c r="AD285" s="12" t="str">
        <f t="shared" si="123"/>
        <v/>
      </c>
      <c r="AE285" s="12" t="str">
        <f t="shared" si="124"/>
        <v/>
      </c>
      <c r="AH285" s="12" t="str">
        <f t="shared" si="125"/>
        <v/>
      </c>
      <c r="AI285" s="12" t="str">
        <f t="shared" si="126"/>
        <v/>
      </c>
      <c r="AJ285" s="12" t="str">
        <f t="shared" si="127"/>
        <v/>
      </c>
    </row>
    <row r="286" spans="1:36" x14ac:dyDescent="0.25">
      <c r="A286" s="17">
        <f t="shared" si="128"/>
        <v>14</v>
      </c>
      <c r="B286" s="8" t="s">
        <v>40</v>
      </c>
      <c r="C286" s="4" t="s">
        <v>24</v>
      </c>
      <c r="D286" s="5" t="s">
        <v>0</v>
      </c>
      <c r="E286" s="5"/>
      <c r="F286" s="5" t="s">
        <v>1</v>
      </c>
      <c r="G286" s="5" t="s">
        <v>1</v>
      </c>
      <c r="H286" s="17" t="str">
        <f t="shared" si="122"/>
        <v>""</v>
      </c>
      <c r="I286" s="5" t="s">
        <v>46</v>
      </c>
      <c r="J286" s="5" t="s">
        <v>46</v>
      </c>
      <c r="K286" s="5" t="s">
        <v>46</v>
      </c>
      <c r="L286" s="5" t="s">
        <v>46</v>
      </c>
      <c r="M286" s="5" t="s">
        <v>22</v>
      </c>
      <c r="N286" s="8">
        <f t="shared" si="129"/>
        <v>1</v>
      </c>
      <c r="O286" s="5">
        <v>0</v>
      </c>
      <c r="P286" s="5">
        <v>0</v>
      </c>
      <c r="Q286" s="5" t="s">
        <v>23</v>
      </c>
      <c r="R286" s="5" t="s">
        <v>23</v>
      </c>
      <c r="S286" s="5" t="s">
        <v>23</v>
      </c>
      <c r="T286" s="5" t="s">
        <v>46</v>
      </c>
      <c r="U286" s="5" t="s">
        <v>46</v>
      </c>
      <c r="V286" s="5" t="s">
        <v>46</v>
      </c>
      <c r="W286" s="5">
        <v>0</v>
      </c>
      <c r="X286" s="10" t="s">
        <v>77</v>
      </c>
      <c r="Y286" s="10"/>
      <c r="Z286" s="10"/>
      <c r="AB286" s="2" t="str">
        <f t="shared" si="130"/>
        <v xml:space="preserve">/*14*/{" ","","","","",false,false,false,false,10.0,1,0,0,0.0,0.0,0.0,false,false,false,0},//. </v>
      </c>
      <c r="AD286" s="12" t="str">
        <f t="shared" si="123"/>
        <v/>
      </c>
      <c r="AE286" s="12" t="str">
        <f t="shared" si="124"/>
        <v/>
      </c>
      <c r="AH286" s="12" t="str">
        <f t="shared" si="125"/>
        <v/>
      </c>
      <c r="AI286" s="12" t="str">
        <f t="shared" si="126"/>
        <v/>
      </c>
      <c r="AJ286" s="12" t="str">
        <f t="shared" si="127"/>
        <v/>
      </c>
    </row>
    <row r="287" spans="1:36" x14ac:dyDescent="0.25">
      <c r="A287" s="17">
        <f t="shared" si="128"/>
        <v>15</v>
      </c>
      <c r="B287" s="8" t="s">
        <v>41</v>
      </c>
      <c r="C287" s="4" t="s">
        <v>24</v>
      </c>
      <c r="D287" s="5" t="s">
        <v>0</v>
      </c>
      <c r="E287" s="5"/>
      <c r="F287" s="5" t="s">
        <v>1</v>
      </c>
      <c r="G287" s="5" t="s">
        <v>1</v>
      </c>
      <c r="H287" s="17" t="str">
        <f t="shared" si="122"/>
        <v>""</v>
      </c>
      <c r="I287" s="5" t="s">
        <v>46</v>
      </c>
      <c r="J287" s="5" t="s">
        <v>46</v>
      </c>
      <c r="K287" s="5" t="s">
        <v>46</v>
      </c>
      <c r="L287" s="5" t="s">
        <v>46</v>
      </c>
      <c r="M287" s="5" t="s">
        <v>22</v>
      </c>
      <c r="N287" s="8">
        <f t="shared" si="129"/>
        <v>1</v>
      </c>
      <c r="O287" s="5">
        <v>0</v>
      </c>
      <c r="P287" s="5">
        <v>0</v>
      </c>
      <c r="Q287" s="5" t="s">
        <v>23</v>
      </c>
      <c r="R287" s="5" t="s">
        <v>23</v>
      </c>
      <c r="S287" s="5" t="s">
        <v>23</v>
      </c>
      <c r="T287" s="5" t="s">
        <v>46</v>
      </c>
      <c r="U287" s="5" t="s">
        <v>46</v>
      </c>
      <c r="V287" s="5" t="s">
        <v>46</v>
      </c>
      <c r="W287" s="5">
        <v>0</v>
      </c>
      <c r="X287" s="10" t="s">
        <v>77</v>
      </c>
      <c r="Y287" s="10"/>
      <c r="Z287" s="10"/>
      <c r="AB287" s="2" t="str">
        <f t="shared" si="130"/>
        <v xml:space="preserve">/*15*/{" ","","","","",false,false,false,false,10.0,1,0,0,0.0,0.0,0.0,false,false,false,0},//. </v>
      </c>
      <c r="AD287" s="12" t="str">
        <f t="shared" si="123"/>
        <v/>
      </c>
      <c r="AE287" s="12" t="str">
        <f t="shared" si="124"/>
        <v/>
      </c>
      <c r="AH287" s="12" t="str">
        <f t="shared" si="125"/>
        <v/>
      </c>
      <c r="AI287" s="12" t="str">
        <f t="shared" si="126"/>
        <v/>
      </c>
      <c r="AJ287" s="12" t="str">
        <f t="shared" si="127"/>
        <v/>
      </c>
    </row>
    <row r="288" spans="1:36" x14ac:dyDescent="0.25">
      <c r="A288" s="17">
        <f t="shared" si="128"/>
        <v>16</v>
      </c>
      <c r="B288" s="8" t="s">
        <v>42</v>
      </c>
      <c r="C288" s="4" t="s">
        <v>24</v>
      </c>
      <c r="D288" s="5" t="s">
        <v>0</v>
      </c>
      <c r="E288" s="5"/>
      <c r="F288" s="5" t="s">
        <v>1</v>
      </c>
      <c r="G288" s="5" t="s">
        <v>1</v>
      </c>
      <c r="H288" s="17" t="str">
        <f t="shared" si="122"/>
        <v>""</v>
      </c>
      <c r="I288" s="5" t="s">
        <v>46</v>
      </c>
      <c r="J288" s="5" t="s">
        <v>46</v>
      </c>
      <c r="K288" s="5" t="s">
        <v>46</v>
      </c>
      <c r="L288" s="5" t="s">
        <v>46</v>
      </c>
      <c r="M288" s="5" t="s">
        <v>22</v>
      </c>
      <c r="N288" s="8">
        <f t="shared" si="129"/>
        <v>1</v>
      </c>
      <c r="O288" s="5">
        <v>0</v>
      </c>
      <c r="P288" s="5">
        <v>0</v>
      </c>
      <c r="Q288" s="5" t="s">
        <v>23</v>
      </c>
      <c r="R288" s="5" t="s">
        <v>23</v>
      </c>
      <c r="S288" s="5" t="s">
        <v>23</v>
      </c>
      <c r="T288" s="5" t="s">
        <v>46</v>
      </c>
      <c r="U288" s="5" t="s">
        <v>46</v>
      </c>
      <c r="V288" s="5" t="s">
        <v>46</v>
      </c>
      <c r="W288" s="5">
        <v>0</v>
      </c>
      <c r="X288" s="10" t="s">
        <v>77</v>
      </c>
      <c r="Y288" s="10"/>
      <c r="Z288" s="10"/>
      <c r="AB288" s="2" t="str">
        <f t="shared" si="130"/>
        <v xml:space="preserve">/*16*/{" ","","","","",false,false,false,false,10.0,1,0,0,0.0,0.0,0.0,false,false,false,0},//. </v>
      </c>
      <c r="AD288" s="12" t="str">
        <f t="shared" si="123"/>
        <v/>
      </c>
      <c r="AE288" s="12" t="str">
        <f t="shared" si="124"/>
        <v/>
      </c>
      <c r="AH288" s="12" t="str">
        <f t="shared" si="125"/>
        <v/>
      </c>
      <c r="AI288" s="12" t="str">
        <f t="shared" si="126"/>
        <v/>
      </c>
      <c r="AJ288" s="12" t="str">
        <f t="shared" si="127"/>
        <v/>
      </c>
    </row>
    <row r="289" spans="1:36" x14ac:dyDescent="0.25">
      <c r="A289" s="17">
        <f t="shared" si="128"/>
        <v>17</v>
      </c>
      <c r="B289" s="8" t="s">
        <v>43</v>
      </c>
      <c r="C289" s="4" t="s">
        <v>24</v>
      </c>
      <c r="D289" s="5" t="s">
        <v>0</v>
      </c>
      <c r="E289" s="5"/>
      <c r="F289" s="5" t="s">
        <v>1</v>
      </c>
      <c r="G289" s="5" t="s">
        <v>1</v>
      </c>
      <c r="H289" s="17" t="str">
        <f t="shared" si="122"/>
        <v>""</v>
      </c>
      <c r="I289" s="5" t="s">
        <v>46</v>
      </c>
      <c r="J289" s="5" t="s">
        <v>46</v>
      </c>
      <c r="K289" s="5" t="s">
        <v>46</v>
      </c>
      <c r="L289" s="5" t="s">
        <v>46</v>
      </c>
      <c r="M289" s="5" t="s">
        <v>22</v>
      </c>
      <c r="N289" s="8">
        <f t="shared" si="129"/>
        <v>1</v>
      </c>
      <c r="O289" s="5">
        <v>0</v>
      </c>
      <c r="P289" s="5">
        <v>0</v>
      </c>
      <c r="Q289" s="5" t="s">
        <v>23</v>
      </c>
      <c r="R289" s="5" t="s">
        <v>23</v>
      </c>
      <c r="S289" s="5" t="s">
        <v>23</v>
      </c>
      <c r="T289" s="5" t="s">
        <v>46</v>
      </c>
      <c r="U289" s="5" t="s">
        <v>46</v>
      </c>
      <c r="V289" s="5" t="s">
        <v>46</v>
      </c>
      <c r="W289" s="5">
        <v>0</v>
      </c>
      <c r="X289" s="10" t="s">
        <v>77</v>
      </c>
      <c r="Y289" s="10"/>
      <c r="Z289" s="10"/>
      <c r="AB289" s="2" t="str">
        <f t="shared" si="130"/>
        <v xml:space="preserve">/*17*/{" ","","","","",false,false,false,false,10.0,1,0,0,0.0,0.0,0.0,false,false,false,0},//. </v>
      </c>
      <c r="AD289" s="12" t="str">
        <f t="shared" si="123"/>
        <v/>
      </c>
      <c r="AE289" s="12" t="str">
        <f t="shared" si="124"/>
        <v/>
      </c>
      <c r="AH289" s="12" t="str">
        <f t="shared" si="125"/>
        <v/>
      </c>
      <c r="AI289" s="12" t="str">
        <f t="shared" si="126"/>
        <v/>
      </c>
      <c r="AJ289" s="12" t="str">
        <f t="shared" si="127"/>
        <v/>
      </c>
    </row>
    <row r="290" spans="1:36" x14ac:dyDescent="0.25">
      <c r="A290" s="17">
        <f t="shared" si="128"/>
        <v>18</v>
      </c>
      <c r="B290" s="8" t="s">
        <v>44</v>
      </c>
      <c r="C290" s="4" t="s">
        <v>24</v>
      </c>
      <c r="D290" s="5" t="s">
        <v>0</v>
      </c>
      <c r="E290" s="5"/>
      <c r="F290" s="5" t="s">
        <v>1</v>
      </c>
      <c r="G290" s="5" t="s">
        <v>1</v>
      </c>
      <c r="H290" s="17" t="str">
        <f t="shared" si="122"/>
        <v>""</v>
      </c>
      <c r="I290" s="5" t="s">
        <v>46</v>
      </c>
      <c r="J290" s="5" t="s">
        <v>46</v>
      </c>
      <c r="K290" s="5" t="s">
        <v>46</v>
      </c>
      <c r="L290" s="5" t="s">
        <v>46</v>
      </c>
      <c r="M290" s="5" t="s">
        <v>22</v>
      </c>
      <c r="N290" s="8">
        <f t="shared" si="129"/>
        <v>1</v>
      </c>
      <c r="O290" s="5">
        <v>0</v>
      </c>
      <c r="P290" s="5">
        <v>0</v>
      </c>
      <c r="Q290" s="5" t="s">
        <v>23</v>
      </c>
      <c r="R290" s="5" t="s">
        <v>23</v>
      </c>
      <c r="S290" s="5" t="s">
        <v>23</v>
      </c>
      <c r="T290" s="5" t="s">
        <v>46</v>
      </c>
      <c r="U290" s="5" t="s">
        <v>46</v>
      </c>
      <c r="V290" s="5" t="s">
        <v>46</v>
      </c>
      <c r="W290" s="5">
        <v>0</v>
      </c>
      <c r="X290" s="10" t="s">
        <v>77</v>
      </c>
      <c r="Y290" s="10"/>
      <c r="Z290" s="10"/>
      <c r="AB290" s="2" t="str">
        <f t="shared" si="130"/>
        <v xml:space="preserve">/*18*/{" ","","","","",false,false,false,false,10.0,1,0,0,0.0,0.0,0.0,false,false,false,0},//. </v>
      </c>
      <c r="AD290" s="12" t="str">
        <f t="shared" si="123"/>
        <v/>
      </c>
      <c r="AE290" s="12" t="str">
        <f t="shared" si="124"/>
        <v/>
      </c>
      <c r="AH290" s="12" t="str">
        <f t="shared" si="125"/>
        <v/>
      </c>
      <c r="AI290" s="12" t="str">
        <f t="shared" si="126"/>
        <v/>
      </c>
      <c r="AJ290" s="12" t="str">
        <f t="shared" si="127"/>
        <v/>
      </c>
    </row>
    <row r="291" spans="1:36" x14ac:dyDescent="0.25">
      <c r="A291" s="17">
        <f t="shared" si="128"/>
        <v>19</v>
      </c>
      <c r="B291" s="8" t="s">
        <v>45</v>
      </c>
      <c r="C291" s="4" t="s">
        <v>24</v>
      </c>
      <c r="D291" s="5" t="s">
        <v>0</v>
      </c>
      <c r="E291" s="5"/>
      <c r="F291" s="5" t="s">
        <v>1</v>
      </c>
      <c r="G291" s="5" t="s">
        <v>1</v>
      </c>
      <c r="H291" s="17" t="str">
        <f t="shared" si="122"/>
        <v>""</v>
      </c>
      <c r="I291" s="5" t="s">
        <v>46</v>
      </c>
      <c r="J291" s="5" t="s">
        <v>46</v>
      </c>
      <c r="K291" s="5" t="s">
        <v>46</v>
      </c>
      <c r="L291" s="5" t="s">
        <v>46</v>
      </c>
      <c r="M291" s="5" t="s">
        <v>22</v>
      </c>
      <c r="N291" s="8">
        <f t="shared" si="129"/>
        <v>1</v>
      </c>
      <c r="O291" s="5">
        <v>0</v>
      </c>
      <c r="P291" s="5">
        <v>0</v>
      </c>
      <c r="Q291" s="5" t="s">
        <v>23</v>
      </c>
      <c r="R291" s="5" t="s">
        <v>23</v>
      </c>
      <c r="S291" s="5" t="s">
        <v>23</v>
      </c>
      <c r="T291" s="5" t="s">
        <v>46</v>
      </c>
      <c r="U291" s="5" t="s">
        <v>46</v>
      </c>
      <c r="V291" s="5" t="s">
        <v>46</v>
      </c>
      <c r="W291" s="5">
        <v>0</v>
      </c>
      <c r="X291" s="10" t="s">
        <v>77</v>
      </c>
      <c r="Y291" s="10"/>
      <c r="Z291" s="10"/>
      <c r="AB291" s="2" t="str">
        <f t="shared" si="130"/>
        <v xml:space="preserve">/*19*/{" ","","","","",false,false,false,false,10.0,1,0,0,0.0,0.0,0.0,false,false,false,0},//. </v>
      </c>
      <c r="AD291" s="12" t="str">
        <f>IF(X291="Да",CONCATENATE("float &amp;",SUBSTITUTE(Z291," ","")," = Screens[",$A$269,"][",A291,"].Param;// Ссылка. ",$Y$32,". ",Y291),"")</f>
        <v/>
      </c>
      <c r="AE291" s="12" t="str">
        <f>IF(X291="Да",CONCATENATE("float ",SUBSTITUTE(Z291," ","")," = Screens[",$A$269,"][",A291,"].Param;//",$Y$32,". ",Y291),"")</f>
        <v/>
      </c>
      <c r="AH291" s="12" t="str">
        <f>IF(X291="Да",CONCATENATE("Ref.",,SUBSTITUTE(Z291," ","")," = ",$AI$1,$B$269,SUBSTITUTE(E291," ",""),";//",$Y$32,". ",Y291),"")</f>
        <v/>
      </c>
      <c r="AI291" s="12" t="str">
        <f t="shared" si="126"/>
        <v/>
      </c>
      <c r="AJ291" s="12" t="str">
        <f t="shared" ref="AJ291" si="131">IF(X291="Да",CONCATENATE($AI$1,SUBSTITUTE(Z291," ","")," = ",M291,";//",$Y$32,". ",Y291),"")</f>
        <v/>
      </c>
    </row>
    <row r="292" spans="1:36" x14ac:dyDescent="0.25">
      <c r="AB292" s="3" t="s">
        <v>25</v>
      </c>
    </row>
    <row r="293" spans="1:36" x14ac:dyDescent="0.25">
      <c r="A293" s="14">
        <f>A269+1</f>
        <v>12</v>
      </c>
      <c r="D293" s="7" t="s">
        <v>66</v>
      </c>
      <c r="AB293" s="3" t="s">
        <v>51</v>
      </c>
    </row>
    <row r="294" spans="1:36" ht="45" x14ac:dyDescent="0.25">
      <c r="A294" s="15" t="s">
        <v>78</v>
      </c>
      <c r="B294" s="18"/>
      <c r="C294" s="6" t="s">
        <v>25</v>
      </c>
      <c r="D294" s="6" t="s">
        <v>17</v>
      </c>
      <c r="E294" s="6" t="s">
        <v>18</v>
      </c>
      <c r="F294" s="6" t="s">
        <v>19</v>
      </c>
      <c r="G294" s="6" t="s">
        <v>20</v>
      </c>
      <c r="H294" s="6" t="s">
        <v>21</v>
      </c>
      <c r="I294" s="6" t="s">
        <v>2</v>
      </c>
      <c r="J294" s="6" t="s">
        <v>3</v>
      </c>
      <c r="K294" s="6" t="s">
        <v>4</v>
      </c>
      <c r="L294" s="6" t="s">
        <v>5</v>
      </c>
      <c r="M294" s="6" t="s">
        <v>6</v>
      </c>
      <c r="N294" s="6" t="s">
        <v>7</v>
      </c>
      <c r="O294" s="6" t="s">
        <v>8</v>
      </c>
      <c r="P294" s="6" t="s">
        <v>9</v>
      </c>
      <c r="Q294" s="6" t="s">
        <v>10</v>
      </c>
      <c r="R294" s="6" t="s">
        <v>11</v>
      </c>
      <c r="S294" s="6" t="s">
        <v>12</v>
      </c>
      <c r="T294" s="6" t="s">
        <v>13</v>
      </c>
      <c r="U294" s="6" t="s">
        <v>14</v>
      </c>
      <c r="V294" s="6" t="s">
        <v>15</v>
      </c>
      <c r="W294" s="6" t="s">
        <v>16</v>
      </c>
      <c r="X294" s="6" t="s">
        <v>76</v>
      </c>
      <c r="Y294" s="6" t="s">
        <v>80</v>
      </c>
      <c r="Z294" s="6" t="s">
        <v>97</v>
      </c>
      <c r="AA294" s="1"/>
      <c r="AB294" s="2" t="str">
        <f>CONCATENATE(D293," - ",E296)</f>
        <v xml:space="preserve">//Экран 12 - </v>
      </c>
    </row>
    <row r="295" spans="1:36" x14ac:dyDescent="0.25">
      <c r="A295" s="16"/>
      <c r="B295" s="13"/>
      <c r="C295" s="4" t="s">
        <v>24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11"/>
      <c r="Y295" s="11"/>
      <c r="Z295" s="11"/>
      <c r="AA295" s="1"/>
      <c r="AB295" s="3" t="str">
        <f>C295</f>
        <v>{</v>
      </c>
    </row>
    <row r="296" spans="1:36" x14ac:dyDescent="0.25">
      <c r="A296" s="17">
        <v>0</v>
      </c>
      <c r="B296" s="8" t="s">
        <v>27</v>
      </c>
      <c r="C296" s="4" t="s">
        <v>24</v>
      </c>
      <c r="D296" s="5" t="s">
        <v>0</v>
      </c>
      <c r="E296" s="5"/>
      <c r="F296" s="5" t="s">
        <v>1</v>
      </c>
      <c r="G296" s="5" t="s">
        <v>1</v>
      </c>
      <c r="H296" s="17" t="str">
        <f t="shared" ref="H296:H315" si="132">IF(AND(I296="true",J296="false"),""" ""","""""")</f>
        <v>""</v>
      </c>
      <c r="I296" s="5" t="s">
        <v>46</v>
      </c>
      <c r="J296" s="5" t="s">
        <v>46</v>
      </c>
      <c r="K296" s="5" t="s">
        <v>46</v>
      </c>
      <c r="L296" s="5" t="s">
        <v>47</v>
      </c>
      <c r="M296" s="5" t="s">
        <v>22</v>
      </c>
      <c r="N296" s="8">
        <v>1</v>
      </c>
      <c r="O296" s="5">
        <v>0</v>
      </c>
      <c r="P296" s="5">
        <v>0</v>
      </c>
      <c r="Q296" s="5" t="s">
        <v>48</v>
      </c>
      <c r="R296" s="5" t="s">
        <v>23</v>
      </c>
      <c r="S296" s="5" t="s">
        <v>49</v>
      </c>
      <c r="T296" s="5" t="s">
        <v>46</v>
      </c>
      <c r="U296" s="5" t="s">
        <v>46</v>
      </c>
      <c r="V296" s="5" t="s">
        <v>46</v>
      </c>
      <c r="W296" s="5">
        <v>0</v>
      </c>
      <c r="X296" s="10" t="s">
        <v>77</v>
      </c>
      <c r="Y296" s="10"/>
      <c r="Z296" s="10"/>
      <c r="AB296" s="2" t="str">
        <f>CONCATENATE(B296,C296,D296,",""",E296,""",",F296,",",G296,",",H296,",",I296,",",J296,",",K296,",",L296,",",M296,",",N296,",",O296,",",P296,",",Q296,",",R296,",",S296,",",T296,",",U296,",",V296,",",W296,"},//",Y296)</f>
        <v>/*0*/{" ","","","","",false,false,false,true,10.0,1,0,0,100.0,0.0,0.1,false,false,false,0},//</v>
      </c>
      <c r="AD296" s="12" t="str">
        <f t="shared" ref="AD296:AD314" si="133">IF(X296="Да",IF(T296="false",CONCATENATE("float &amp;",SUBSTITUTE(Z296," ","")," = Screens[",$A$293,"][",A296,"].Param;// Ссылка. ",$Y$32,". ",Y296),CONCATENATE("bool &amp;",SUBSTITUTE(Z296," ","")," = Screens[",$A$293,"][",A296,"].BoolParam;// Ссылка. ",$Y$32,". ",Y296)),"")</f>
        <v/>
      </c>
      <c r="AE296" s="12" t="str">
        <f t="shared" ref="AE296:AE314" si="134">IF(X296="Да",IF(T296="false",CONCATENATE("float ",SUBSTITUTE(Z296," ","")," = Screens[",$A$293,"][",A296,"].Param;//",$Y$32,". ",Y296),CONCATENATE("bool ",SUBSTITUTE(Z296," ","")," = Screens[",$A$293,"][",A296,"].BoolParam;//",$Y$32,". ",Y296)),"")</f>
        <v/>
      </c>
      <c r="AH296" s="12" t="str">
        <f t="shared" ref="AH296:AH314" si="135">IF(X296="Да",CONCATENATE("Ref.",,SUBSTITUTE(Z296," ","")," = ",$AI$1,SUBSTITUTE(Z296," ",""),";//",$Y$32,". ",Y296),"")</f>
        <v/>
      </c>
      <c r="AI296" s="12" t="str">
        <f t="shared" ref="AI296:AI315" si="136">IF(X296="Да",CONCATENATE($AI$1,SUBSTITUTE(Z296," ","")," = Ref.",SUBSTITUTE(Z296," ",""),";//",$Y$32,". ",Y296),"")</f>
        <v/>
      </c>
      <c r="AJ296" s="12" t="str">
        <f t="shared" ref="AJ296:AJ314" si="137">IF(X296="Да",IF(T296="false",CONCATENATE($AI$1,SUBSTITUTE(Z296," ","")," = ",M296,";//",$Y$32,". ",Y296),CONCATENATE($AI$1,SUBSTITUTE(Z296," ","")," = ",U296,";//",$Y$32,". ",Y296)),"")</f>
        <v/>
      </c>
    </row>
    <row r="297" spans="1:36" x14ac:dyDescent="0.25">
      <c r="A297" s="17">
        <f>A296+1</f>
        <v>1</v>
      </c>
      <c r="B297" s="8" t="s">
        <v>26</v>
      </c>
      <c r="C297" s="4" t="s">
        <v>24</v>
      </c>
      <c r="D297" s="5" t="s">
        <v>0</v>
      </c>
      <c r="E297" s="5"/>
      <c r="F297" s="5" t="s">
        <v>1</v>
      </c>
      <c r="G297" s="5" t="s">
        <v>1</v>
      </c>
      <c r="H297" s="17" t="str">
        <f t="shared" si="132"/>
        <v>""</v>
      </c>
      <c r="I297" s="5" t="s">
        <v>46</v>
      </c>
      <c r="J297" s="5" t="s">
        <v>46</v>
      </c>
      <c r="K297" s="5" t="s">
        <v>46</v>
      </c>
      <c r="L297" s="5" t="s">
        <v>46</v>
      </c>
      <c r="M297" s="5" t="s">
        <v>22</v>
      </c>
      <c r="N297" s="8">
        <f>N296</f>
        <v>1</v>
      </c>
      <c r="O297" s="5">
        <v>0</v>
      </c>
      <c r="P297" s="5">
        <v>0</v>
      </c>
      <c r="Q297" s="5" t="s">
        <v>23</v>
      </c>
      <c r="R297" s="5" t="s">
        <v>23</v>
      </c>
      <c r="S297" s="5" t="s">
        <v>23</v>
      </c>
      <c r="T297" s="5" t="s">
        <v>46</v>
      </c>
      <c r="U297" s="5" t="s">
        <v>46</v>
      </c>
      <c r="V297" s="5" t="s">
        <v>46</v>
      </c>
      <c r="W297" s="5">
        <v>0</v>
      </c>
      <c r="X297" s="10" t="s">
        <v>77</v>
      </c>
      <c r="Y297" s="10"/>
      <c r="Z297" s="10"/>
      <c r="AB297" s="2" t="str">
        <f>CONCATENATE(B297,C297,D297,",""",E297,""",",F297,",",G297,",",H297,",",I297,",",J297,",",K297,",",L297,",",M297,",",N297,",",O297,",",P297,",",Q297,",",R297,",",S297,",",T297,",",U297,",",V297,",",W297,"},//",Y$296,". ",Y297)</f>
        <v xml:space="preserve">/*1*/{" ","","","","",false,false,false,false,10.0,1,0,0,0.0,0.0,0.0,false,false,false,0},//. </v>
      </c>
      <c r="AD297" s="12" t="str">
        <f t="shared" si="133"/>
        <v/>
      </c>
      <c r="AE297" s="12" t="str">
        <f t="shared" si="134"/>
        <v/>
      </c>
      <c r="AH297" s="12" t="str">
        <f t="shared" si="135"/>
        <v/>
      </c>
      <c r="AI297" s="12" t="str">
        <f t="shared" si="136"/>
        <v/>
      </c>
      <c r="AJ297" s="12" t="str">
        <f t="shared" si="137"/>
        <v/>
      </c>
    </row>
    <row r="298" spans="1:36" x14ac:dyDescent="0.25">
      <c r="A298" s="17">
        <f t="shared" ref="A298:A315" si="138">A297+1</f>
        <v>2</v>
      </c>
      <c r="B298" s="8" t="s">
        <v>28</v>
      </c>
      <c r="C298" s="4" t="s">
        <v>24</v>
      </c>
      <c r="D298" s="5" t="s">
        <v>0</v>
      </c>
      <c r="E298" s="5"/>
      <c r="F298" s="5" t="s">
        <v>1</v>
      </c>
      <c r="G298" s="5" t="s">
        <v>1</v>
      </c>
      <c r="H298" s="17" t="str">
        <f t="shared" si="132"/>
        <v>""</v>
      </c>
      <c r="I298" s="5" t="s">
        <v>46</v>
      </c>
      <c r="J298" s="5" t="s">
        <v>46</v>
      </c>
      <c r="K298" s="5" t="s">
        <v>46</v>
      </c>
      <c r="L298" s="5" t="s">
        <v>46</v>
      </c>
      <c r="M298" s="5" t="s">
        <v>22</v>
      </c>
      <c r="N298" s="8">
        <f t="shared" ref="N298:N315" si="139">N297</f>
        <v>1</v>
      </c>
      <c r="O298" s="5">
        <v>0</v>
      </c>
      <c r="P298" s="5">
        <v>0</v>
      </c>
      <c r="Q298" s="5" t="s">
        <v>23</v>
      </c>
      <c r="R298" s="5" t="s">
        <v>23</v>
      </c>
      <c r="S298" s="5" t="s">
        <v>23</v>
      </c>
      <c r="T298" s="5" t="s">
        <v>46</v>
      </c>
      <c r="U298" s="5" t="s">
        <v>46</v>
      </c>
      <c r="V298" s="5" t="s">
        <v>46</v>
      </c>
      <c r="W298" s="5">
        <v>0</v>
      </c>
      <c r="X298" s="10" t="s">
        <v>77</v>
      </c>
      <c r="Y298" s="10"/>
      <c r="Z298" s="10"/>
      <c r="AB298" s="2" t="str">
        <f t="shared" ref="AB298:AB315" si="140">CONCATENATE(B298,C298,D298,",""",E298,""",",F298,",",G298,",",H298,",",I298,",",J298,",",K298,",",L298,",",M298,",",N298,",",O298,",",P298,",",Q298,",",R298,",",S298,",",T298,",",U298,",",V298,",",W298,"},//",Y$296,". ",Y298)</f>
        <v xml:space="preserve">/*2*/{" ","","","","",false,false,false,false,10.0,1,0,0,0.0,0.0,0.0,false,false,false,0},//. </v>
      </c>
      <c r="AD298" s="12" t="str">
        <f t="shared" si="133"/>
        <v/>
      </c>
      <c r="AE298" s="12" t="str">
        <f t="shared" si="134"/>
        <v/>
      </c>
      <c r="AH298" s="12" t="str">
        <f t="shared" si="135"/>
        <v/>
      </c>
      <c r="AI298" s="12" t="str">
        <f t="shared" si="136"/>
        <v/>
      </c>
      <c r="AJ298" s="12" t="str">
        <f t="shared" si="137"/>
        <v/>
      </c>
    </row>
    <row r="299" spans="1:36" x14ac:dyDescent="0.25">
      <c r="A299" s="17">
        <f t="shared" si="138"/>
        <v>3</v>
      </c>
      <c r="B299" s="8" t="s">
        <v>29</v>
      </c>
      <c r="C299" s="4" t="s">
        <v>24</v>
      </c>
      <c r="D299" s="5" t="s">
        <v>0</v>
      </c>
      <c r="E299" s="5"/>
      <c r="F299" s="5" t="s">
        <v>1</v>
      </c>
      <c r="G299" s="5" t="s">
        <v>1</v>
      </c>
      <c r="H299" s="17" t="str">
        <f t="shared" si="132"/>
        <v>""</v>
      </c>
      <c r="I299" s="5" t="s">
        <v>46</v>
      </c>
      <c r="J299" s="5" t="s">
        <v>46</v>
      </c>
      <c r="K299" s="5" t="s">
        <v>46</v>
      </c>
      <c r="L299" s="5" t="s">
        <v>46</v>
      </c>
      <c r="M299" s="5" t="s">
        <v>22</v>
      </c>
      <c r="N299" s="8">
        <f t="shared" si="139"/>
        <v>1</v>
      </c>
      <c r="O299" s="5">
        <v>2</v>
      </c>
      <c r="P299" s="5">
        <v>0</v>
      </c>
      <c r="Q299" s="5" t="s">
        <v>23</v>
      </c>
      <c r="R299" s="5" t="s">
        <v>23</v>
      </c>
      <c r="S299" s="5" t="s">
        <v>23</v>
      </c>
      <c r="T299" s="5" t="s">
        <v>46</v>
      </c>
      <c r="U299" s="5" t="s">
        <v>46</v>
      </c>
      <c r="V299" s="5" t="s">
        <v>46</v>
      </c>
      <c r="W299" s="5">
        <v>0</v>
      </c>
      <c r="X299" s="10" t="s">
        <v>77</v>
      </c>
      <c r="Y299" s="10"/>
      <c r="Z299" s="10"/>
      <c r="AB299" s="2" t="str">
        <f t="shared" si="140"/>
        <v xml:space="preserve">/*3*/{" ","","","","",false,false,false,false,10.0,1,2,0,0.0,0.0,0.0,false,false,false,0},//. </v>
      </c>
      <c r="AD299" s="12" t="str">
        <f t="shared" si="133"/>
        <v/>
      </c>
      <c r="AE299" s="12" t="str">
        <f t="shared" si="134"/>
        <v/>
      </c>
      <c r="AH299" s="12" t="str">
        <f t="shared" si="135"/>
        <v/>
      </c>
      <c r="AI299" s="12" t="str">
        <f t="shared" si="136"/>
        <v/>
      </c>
      <c r="AJ299" s="12" t="str">
        <f t="shared" si="137"/>
        <v/>
      </c>
    </row>
    <row r="300" spans="1:36" x14ac:dyDescent="0.25">
      <c r="A300" s="17">
        <f t="shared" si="138"/>
        <v>4</v>
      </c>
      <c r="B300" s="8" t="s">
        <v>30</v>
      </c>
      <c r="C300" s="4" t="s">
        <v>24</v>
      </c>
      <c r="D300" s="5" t="s">
        <v>0</v>
      </c>
      <c r="E300" s="5"/>
      <c r="F300" s="5" t="s">
        <v>1</v>
      </c>
      <c r="G300" s="5" t="s">
        <v>1</v>
      </c>
      <c r="H300" s="17" t="str">
        <f t="shared" si="132"/>
        <v>""</v>
      </c>
      <c r="I300" s="5" t="s">
        <v>46</v>
      </c>
      <c r="J300" s="5" t="s">
        <v>46</v>
      </c>
      <c r="K300" s="5" t="s">
        <v>46</v>
      </c>
      <c r="L300" s="5" t="s">
        <v>46</v>
      </c>
      <c r="M300" s="5" t="s">
        <v>22</v>
      </c>
      <c r="N300" s="8">
        <f t="shared" si="139"/>
        <v>1</v>
      </c>
      <c r="O300" s="5">
        <v>0</v>
      </c>
      <c r="P300" s="5">
        <v>0</v>
      </c>
      <c r="Q300" s="5" t="s">
        <v>23</v>
      </c>
      <c r="R300" s="5" t="s">
        <v>23</v>
      </c>
      <c r="S300" s="5" t="s">
        <v>23</v>
      </c>
      <c r="T300" s="5" t="s">
        <v>46</v>
      </c>
      <c r="U300" s="5" t="s">
        <v>46</v>
      </c>
      <c r="V300" s="5" t="s">
        <v>46</v>
      </c>
      <c r="W300" s="5">
        <v>0</v>
      </c>
      <c r="X300" s="10" t="s">
        <v>77</v>
      </c>
      <c r="Y300" s="10"/>
      <c r="Z300" s="10"/>
      <c r="AB300" s="2" t="str">
        <f t="shared" si="140"/>
        <v xml:space="preserve">/*4*/{" ","","","","",false,false,false,false,10.0,1,0,0,0.0,0.0,0.0,false,false,false,0},//. </v>
      </c>
      <c r="AD300" s="12" t="str">
        <f t="shared" si="133"/>
        <v/>
      </c>
      <c r="AE300" s="12" t="str">
        <f t="shared" si="134"/>
        <v/>
      </c>
      <c r="AH300" s="12" t="str">
        <f t="shared" si="135"/>
        <v/>
      </c>
      <c r="AI300" s="12" t="str">
        <f t="shared" si="136"/>
        <v/>
      </c>
      <c r="AJ300" s="12" t="str">
        <f t="shared" si="137"/>
        <v/>
      </c>
    </row>
    <row r="301" spans="1:36" x14ac:dyDescent="0.25">
      <c r="A301" s="17">
        <f t="shared" si="138"/>
        <v>5</v>
      </c>
      <c r="B301" s="8" t="s">
        <v>31</v>
      </c>
      <c r="C301" s="4" t="s">
        <v>24</v>
      </c>
      <c r="D301" s="5" t="s">
        <v>0</v>
      </c>
      <c r="E301" s="5"/>
      <c r="F301" s="5" t="s">
        <v>1</v>
      </c>
      <c r="G301" s="5" t="s">
        <v>1</v>
      </c>
      <c r="H301" s="17" t="str">
        <f t="shared" si="132"/>
        <v>""</v>
      </c>
      <c r="I301" s="5" t="s">
        <v>46</v>
      </c>
      <c r="J301" s="5" t="s">
        <v>46</v>
      </c>
      <c r="K301" s="5" t="s">
        <v>46</v>
      </c>
      <c r="L301" s="5" t="s">
        <v>46</v>
      </c>
      <c r="M301" s="5" t="s">
        <v>22</v>
      </c>
      <c r="N301" s="8">
        <f t="shared" si="139"/>
        <v>1</v>
      </c>
      <c r="O301" s="5">
        <v>0</v>
      </c>
      <c r="P301" s="5">
        <v>0</v>
      </c>
      <c r="Q301" s="5" t="s">
        <v>23</v>
      </c>
      <c r="R301" s="5" t="s">
        <v>23</v>
      </c>
      <c r="S301" s="5" t="s">
        <v>23</v>
      </c>
      <c r="T301" s="5" t="s">
        <v>46</v>
      </c>
      <c r="U301" s="5" t="s">
        <v>46</v>
      </c>
      <c r="V301" s="5" t="s">
        <v>46</v>
      </c>
      <c r="W301" s="5">
        <v>0</v>
      </c>
      <c r="X301" s="10" t="s">
        <v>77</v>
      </c>
      <c r="Y301" s="10"/>
      <c r="Z301" s="10"/>
      <c r="AB301" s="2" t="str">
        <f t="shared" si="140"/>
        <v xml:space="preserve">/*5*/{" ","","","","",false,false,false,false,10.0,1,0,0,0.0,0.0,0.0,false,false,false,0},//. </v>
      </c>
      <c r="AD301" s="12" t="str">
        <f t="shared" si="133"/>
        <v/>
      </c>
      <c r="AE301" s="12" t="str">
        <f t="shared" si="134"/>
        <v/>
      </c>
      <c r="AH301" s="12" t="str">
        <f t="shared" si="135"/>
        <v/>
      </c>
      <c r="AI301" s="12" t="str">
        <f t="shared" si="136"/>
        <v/>
      </c>
      <c r="AJ301" s="12" t="str">
        <f t="shared" si="137"/>
        <v/>
      </c>
    </row>
    <row r="302" spans="1:36" x14ac:dyDescent="0.25">
      <c r="A302" s="17">
        <f t="shared" si="138"/>
        <v>6</v>
      </c>
      <c r="B302" s="8" t="s">
        <v>32</v>
      </c>
      <c r="C302" s="4" t="s">
        <v>24</v>
      </c>
      <c r="D302" s="5" t="s">
        <v>0</v>
      </c>
      <c r="E302" s="5"/>
      <c r="F302" s="5" t="s">
        <v>1</v>
      </c>
      <c r="G302" s="5" t="s">
        <v>1</v>
      </c>
      <c r="H302" s="17" t="str">
        <f t="shared" si="132"/>
        <v>""</v>
      </c>
      <c r="I302" s="5" t="s">
        <v>46</v>
      </c>
      <c r="J302" s="5" t="s">
        <v>46</v>
      </c>
      <c r="K302" s="5" t="s">
        <v>46</v>
      </c>
      <c r="L302" s="5" t="s">
        <v>46</v>
      </c>
      <c r="M302" s="5" t="s">
        <v>22</v>
      </c>
      <c r="N302" s="8">
        <f t="shared" si="139"/>
        <v>1</v>
      </c>
      <c r="O302" s="5">
        <v>0</v>
      </c>
      <c r="P302" s="5">
        <v>0</v>
      </c>
      <c r="Q302" s="5" t="s">
        <v>23</v>
      </c>
      <c r="R302" s="5" t="s">
        <v>23</v>
      </c>
      <c r="S302" s="5" t="s">
        <v>23</v>
      </c>
      <c r="T302" s="5" t="s">
        <v>46</v>
      </c>
      <c r="U302" s="5" t="s">
        <v>46</v>
      </c>
      <c r="V302" s="5" t="s">
        <v>46</v>
      </c>
      <c r="W302" s="5">
        <v>0</v>
      </c>
      <c r="X302" s="10" t="s">
        <v>77</v>
      </c>
      <c r="Y302" s="10"/>
      <c r="Z302" s="10"/>
      <c r="AB302" s="2" t="str">
        <f t="shared" si="140"/>
        <v xml:space="preserve">/*6*/{" ","","","","",false,false,false,false,10.0,1,0,0,0.0,0.0,0.0,false,false,false,0},//. </v>
      </c>
      <c r="AD302" s="12" t="str">
        <f t="shared" si="133"/>
        <v/>
      </c>
      <c r="AE302" s="12" t="str">
        <f t="shared" si="134"/>
        <v/>
      </c>
      <c r="AH302" s="12" t="str">
        <f t="shared" si="135"/>
        <v/>
      </c>
      <c r="AI302" s="12" t="str">
        <f t="shared" si="136"/>
        <v/>
      </c>
      <c r="AJ302" s="12" t="str">
        <f t="shared" si="137"/>
        <v/>
      </c>
    </row>
    <row r="303" spans="1:36" x14ac:dyDescent="0.25">
      <c r="A303" s="17">
        <f t="shared" si="138"/>
        <v>7</v>
      </c>
      <c r="B303" s="8" t="s">
        <v>33</v>
      </c>
      <c r="C303" s="4" t="s">
        <v>24</v>
      </c>
      <c r="D303" s="5" t="s">
        <v>0</v>
      </c>
      <c r="E303" s="5"/>
      <c r="F303" s="5" t="s">
        <v>1</v>
      </c>
      <c r="G303" s="5" t="s">
        <v>1</v>
      </c>
      <c r="H303" s="17" t="str">
        <f t="shared" si="132"/>
        <v>""</v>
      </c>
      <c r="I303" s="5" t="s">
        <v>46</v>
      </c>
      <c r="J303" s="5" t="s">
        <v>46</v>
      </c>
      <c r="K303" s="5" t="s">
        <v>46</v>
      </c>
      <c r="L303" s="5" t="s">
        <v>46</v>
      </c>
      <c r="M303" s="5" t="s">
        <v>22</v>
      </c>
      <c r="N303" s="8">
        <f t="shared" si="139"/>
        <v>1</v>
      </c>
      <c r="O303" s="5">
        <v>0</v>
      </c>
      <c r="P303" s="5">
        <v>0</v>
      </c>
      <c r="Q303" s="5" t="s">
        <v>23</v>
      </c>
      <c r="R303" s="5" t="s">
        <v>23</v>
      </c>
      <c r="S303" s="5" t="s">
        <v>23</v>
      </c>
      <c r="T303" s="5" t="s">
        <v>46</v>
      </c>
      <c r="U303" s="5" t="s">
        <v>46</v>
      </c>
      <c r="V303" s="5" t="s">
        <v>46</v>
      </c>
      <c r="W303" s="5">
        <v>0</v>
      </c>
      <c r="X303" s="10" t="s">
        <v>77</v>
      </c>
      <c r="Y303" s="10"/>
      <c r="Z303" s="10"/>
      <c r="AB303" s="2" t="str">
        <f t="shared" si="140"/>
        <v xml:space="preserve">/*7*/{" ","","","","",false,false,false,false,10.0,1,0,0,0.0,0.0,0.0,false,false,false,0},//. </v>
      </c>
      <c r="AD303" s="12" t="str">
        <f t="shared" si="133"/>
        <v/>
      </c>
      <c r="AE303" s="12" t="str">
        <f t="shared" si="134"/>
        <v/>
      </c>
      <c r="AH303" s="12" t="str">
        <f t="shared" si="135"/>
        <v/>
      </c>
      <c r="AI303" s="12" t="str">
        <f t="shared" si="136"/>
        <v/>
      </c>
      <c r="AJ303" s="12" t="str">
        <f t="shared" si="137"/>
        <v/>
      </c>
    </row>
    <row r="304" spans="1:36" x14ac:dyDescent="0.25">
      <c r="A304" s="17">
        <f t="shared" si="138"/>
        <v>8</v>
      </c>
      <c r="B304" s="8" t="s">
        <v>34</v>
      </c>
      <c r="C304" s="4" t="s">
        <v>24</v>
      </c>
      <c r="D304" s="5" t="s">
        <v>0</v>
      </c>
      <c r="E304" s="5"/>
      <c r="F304" s="5" t="s">
        <v>1</v>
      </c>
      <c r="G304" s="5" t="s">
        <v>1</v>
      </c>
      <c r="H304" s="17" t="str">
        <f t="shared" si="132"/>
        <v>""</v>
      </c>
      <c r="I304" s="5" t="s">
        <v>46</v>
      </c>
      <c r="J304" s="5" t="s">
        <v>46</v>
      </c>
      <c r="K304" s="5" t="s">
        <v>46</v>
      </c>
      <c r="L304" s="5" t="s">
        <v>46</v>
      </c>
      <c r="M304" s="5" t="s">
        <v>22</v>
      </c>
      <c r="N304" s="8">
        <f t="shared" si="139"/>
        <v>1</v>
      </c>
      <c r="O304" s="5">
        <v>0</v>
      </c>
      <c r="P304" s="5">
        <v>0</v>
      </c>
      <c r="Q304" s="5" t="s">
        <v>23</v>
      </c>
      <c r="R304" s="5" t="s">
        <v>23</v>
      </c>
      <c r="S304" s="5" t="s">
        <v>23</v>
      </c>
      <c r="T304" s="5" t="s">
        <v>46</v>
      </c>
      <c r="U304" s="5" t="s">
        <v>46</v>
      </c>
      <c r="V304" s="5" t="s">
        <v>46</v>
      </c>
      <c r="W304" s="5">
        <v>0</v>
      </c>
      <c r="X304" s="10" t="s">
        <v>77</v>
      </c>
      <c r="Y304" s="10"/>
      <c r="Z304" s="10"/>
      <c r="AB304" s="2" t="str">
        <f t="shared" si="140"/>
        <v xml:space="preserve">/*8*/{" ","","","","",false,false,false,false,10.0,1,0,0,0.0,0.0,0.0,false,false,false,0},//. </v>
      </c>
      <c r="AD304" s="12" t="str">
        <f t="shared" si="133"/>
        <v/>
      </c>
      <c r="AE304" s="12" t="str">
        <f t="shared" si="134"/>
        <v/>
      </c>
      <c r="AH304" s="12" t="str">
        <f t="shared" si="135"/>
        <v/>
      </c>
      <c r="AI304" s="12" t="str">
        <f t="shared" si="136"/>
        <v/>
      </c>
      <c r="AJ304" s="12" t="str">
        <f t="shared" si="137"/>
        <v/>
      </c>
    </row>
    <row r="305" spans="1:36" x14ac:dyDescent="0.25">
      <c r="A305" s="17">
        <f t="shared" si="138"/>
        <v>9</v>
      </c>
      <c r="B305" s="8" t="s">
        <v>35</v>
      </c>
      <c r="C305" s="4" t="s">
        <v>24</v>
      </c>
      <c r="D305" s="5" t="s">
        <v>0</v>
      </c>
      <c r="E305" s="5"/>
      <c r="F305" s="5" t="s">
        <v>1</v>
      </c>
      <c r="G305" s="5" t="s">
        <v>1</v>
      </c>
      <c r="H305" s="17" t="str">
        <f t="shared" si="132"/>
        <v>""</v>
      </c>
      <c r="I305" s="5" t="s">
        <v>46</v>
      </c>
      <c r="J305" s="5" t="s">
        <v>46</v>
      </c>
      <c r="K305" s="5" t="s">
        <v>46</v>
      </c>
      <c r="L305" s="5" t="s">
        <v>46</v>
      </c>
      <c r="M305" s="5" t="s">
        <v>22</v>
      </c>
      <c r="N305" s="8">
        <f t="shared" si="139"/>
        <v>1</v>
      </c>
      <c r="O305" s="5">
        <v>0</v>
      </c>
      <c r="P305" s="5">
        <v>0</v>
      </c>
      <c r="Q305" s="5" t="s">
        <v>23</v>
      </c>
      <c r="R305" s="5" t="s">
        <v>23</v>
      </c>
      <c r="S305" s="5" t="s">
        <v>23</v>
      </c>
      <c r="T305" s="5" t="s">
        <v>46</v>
      </c>
      <c r="U305" s="5" t="s">
        <v>46</v>
      </c>
      <c r="V305" s="5" t="s">
        <v>46</v>
      </c>
      <c r="W305" s="5">
        <v>0</v>
      </c>
      <c r="X305" s="10" t="s">
        <v>77</v>
      </c>
      <c r="Y305" s="10"/>
      <c r="Z305" s="10"/>
      <c r="AB305" s="2" t="str">
        <f t="shared" si="140"/>
        <v xml:space="preserve">/*9*/{" ","","","","",false,false,false,false,10.0,1,0,0,0.0,0.0,0.0,false,false,false,0},//. </v>
      </c>
      <c r="AD305" s="12" t="str">
        <f t="shared" si="133"/>
        <v/>
      </c>
      <c r="AE305" s="12" t="str">
        <f t="shared" si="134"/>
        <v/>
      </c>
      <c r="AH305" s="12" t="str">
        <f t="shared" si="135"/>
        <v/>
      </c>
      <c r="AI305" s="12" t="str">
        <f t="shared" si="136"/>
        <v/>
      </c>
      <c r="AJ305" s="12" t="str">
        <f t="shared" si="137"/>
        <v/>
      </c>
    </row>
    <row r="306" spans="1:36" x14ac:dyDescent="0.25">
      <c r="A306" s="17">
        <f t="shared" si="138"/>
        <v>10</v>
      </c>
      <c r="B306" s="8" t="s">
        <v>36</v>
      </c>
      <c r="C306" s="4" t="s">
        <v>24</v>
      </c>
      <c r="D306" s="5" t="s">
        <v>0</v>
      </c>
      <c r="E306" s="5"/>
      <c r="F306" s="5" t="s">
        <v>1</v>
      </c>
      <c r="G306" s="5" t="s">
        <v>1</v>
      </c>
      <c r="H306" s="17" t="str">
        <f t="shared" si="132"/>
        <v>""</v>
      </c>
      <c r="I306" s="5" t="s">
        <v>46</v>
      </c>
      <c r="J306" s="5" t="s">
        <v>46</v>
      </c>
      <c r="K306" s="5" t="s">
        <v>46</v>
      </c>
      <c r="L306" s="5" t="s">
        <v>46</v>
      </c>
      <c r="M306" s="5" t="s">
        <v>22</v>
      </c>
      <c r="N306" s="8">
        <f t="shared" si="139"/>
        <v>1</v>
      </c>
      <c r="O306" s="5">
        <v>0</v>
      </c>
      <c r="P306" s="5">
        <v>0</v>
      </c>
      <c r="Q306" s="5" t="s">
        <v>23</v>
      </c>
      <c r="R306" s="5" t="s">
        <v>23</v>
      </c>
      <c r="S306" s="5" t="s">
        <v>23</v>
      </c>
      <c r="T306" s="5" t="s">
        <v>46</v>
      </c>
      <c r="U306" s="5" t="s">
        <v>46</v>
      </c>
      <c r="V306" s="5" t="s">
        <v>46</v>
      </c>
      <c r="W306" s="5">
        <v>0</v>
      </c>
      <c r="X306" s="10" t="s">
        <v>77</v>
      </c>
      <c r="Y306" s="10"/>
      <c r="Z306" s="10"/>
      <c r="AB306" s="2" t="str">
        <f t="shared" si="140"/>
        <v xml:space="preserve">/*10*/{" ","","","","",false,false,false,false,10.0,1,0,0,0.0,0.0,0.0,false,false,false,0},//. </v>
      </c>
      <c r="AD306" s="12" t="str">
        <f t="shared" si="133"/>
        <v/>
      </c>
      <c r="AE306" s="12" t="str">
        <f t="shared" si="134"/>
        <v/>
      </c>
      <c r="AH306" s="12" t="str">
        <f t="shared" si="135"/>
        <v/>
      </c>
      <c r="AI306" s="12" t="str">
        <f t="shared" si="136"/>
        <v/>
      </c>
      <c r="AJ306" s="12" t="str">
        <f t="shared" si="137"/>
        <v/>
      </c>
    </row>
    <row r="307" spans="1:36" x14ac:dyDescent="0.25">
      <c r="A307" s="17">
        <f t="shared" si="138"/>
        <v>11</v>
      </c>
      <c r="B307" s="8" t="s">
        <v>37</v>
      </c>
      <c r="C307" s="4" t="s">
        <v>24</v>
      </c>
      <c r="D307" s="5" t="s">
        <v>0</v>
      </c>
      <c r="E307" s="5"/>
      <c r="F307" s="5" t="s">
        <v>1</v>
      </c>
      <c r="G307" s="5" t="s">
        <v>1</v>
      </c>
      <c r="H307" s="17" t="str">
        <f t="shared" si="132"/>
        <v>""</v>
      </c>
      <c r="I307" s="5" t="s">
        <v>46</v>
      </c>
      <c r="J307" s="5" t="s">
        <v>46</v>
      </c>
      <c r="K307" s="5" t="s">
        <v>46</v>
      </c>
      <c r="L307" s="5" t="s">
        <v>46</v>
      </c>
      <c r="M307" s="5" t="s">
        <v>22</v>
      </c>
      <c r="N307" s="8">
        <f t="shared" si="139"/>
        <v>1</v>
      </c>
      <c r="O307" s="5">
        <v>0</v>
      </c>
      <c r="P307" s="5">
        <v>0</v>
      </c>
      <c r="Q307" s="5" t="s">
        <v>23</v>
      </c>
      <c r="R307" s="5" t="s">
        <v>23</v>
      </c>
      <c r="S307" s="5" t="s">
        <v>23</v>
      </c>
      <c r="T307" s="5" t="s">
        <v>46</v>
      </c>
      <c r="U307" s="5" t="s">
        <v>46</v>
      </c>
      <c r="V307" s="5" t="s">
        <v>46</v>
      </c>
      <c r="W307" s="5">
        <v>0</v>
      </c>
      <c r="X307" s="10" t="s">
        <v>77</v>
      </c>
      <c r="Y307" s="10"/>
      <c r="Z307" s="10"/>
      <c r="AB307" s="2" t="str">
        <f t="shared" si="140"/>
        <v xml:space="preserve">/*11*/{" ","","","","",false,false,false,false,10.0,1,0,0,0.0,0.0,0.0,false,false,false,0},//. </v>
      </c>
      <c r="AD307" s="12" t="str">
        <f t="shared" si="133"/>
        <v/>
      </c>
      <c r="AE307" s="12" t="str">
        <f t="shared" si="134"/>
        <v/>
      </c>
      <c r="AH307" s="12" t="str">
        <f t="shared" si="135"/>
        <v/>
      </c>
      <c r="AI307" s="12" t="str">
        <f t="shared" si="136"/>
        <v/>
      </c>
      <c r="AJ307" s="12" t="str">
        <f t="shared" si="137"/>
        <v/>
      </c>
    </row>
    <row r="308" spans="1:36" x14ac:dyDescent="0.25">
      <c r="A308" s="17">
        <f t="shared" si="138"/>
        <v>12</v>
      </c>
      <c r="B308" s="8" t="s">
        <v>38</v>
      </c>
      <c r="C308" s="4" t="s">
        <v>24</v>
      </c>
      <c r="D308" s="5" t="s">
        <v>0</v>
      </c>
      <c r="E308" s="5"/>
      <c r="F308" s="5" t="s">
        <v>1</v>
      </c>
      <c r="G308" s="5" t="s">
        <v>1</v>
      </c>
      <c r="H308" s="17" t="str">
        <f t="shared" si="132"/>
        <v>""</v>
      </c>
      <c r="I308" s="5" t="s">
        <v>46</v>
      </c>
      <c r="J308" s="5" t="s">
        <v>46</v>
      </c>
      <c r="K308" s="5" t="s">
        <v>46</v>
      </c>
      <c r="L308" s="5" t="s">
        <v>46</v>
      </c>
      <c r="M308" s="5" t="s">
        <v>22</v>
      </c>
      <c r="N308" s="8">
        <f t="shared" si="139"/>
        <v>1</v>
      </c>
      <c r="O308" s="5">
        <v>0</v>
      </c>
      <c r="P308" s="5">
        <v>0</v>
      </c>
      <c r="Q308" s="5" t="s">
        <v>23</v>
      </c>
      <c r="R308" s="5" t="s">
        <v>23</v>
      </c>
      <c r="S308" s="5" t="s">
        <v>23</v>
      </c>
      <c r="T308" s="5" t="s">
        <v>46</v>
      </c>
      <c r="U308" s="5" t="s">
        <v>46</v>
      </c>
      <c r="V308" s="5" t="s">
        <v>46</v>
      </c>
      <c r="W308" s="5">
        <v>0</v>
      </c>
      <c r="X308" s="10" t="s">
        <v>77</v>
      </c>
      <c r="Y308" s="10"/>
      <c r="Z308" s="10"/>
      <c r="AB308" s="2" t="str">
        <f t="shared" si="140"/>
        <v xml:space="preserve">/*12*/{" ","","","","",false,false,false,false,10.0,1,0,0,0.0,0.0,0.0,false,false,false,0},//. </v>
      </c>
      <c r="AD308" s="12" t="str">
        <f t="shared" si="133"/>
        <v/>
      </c>
      <c r="AE308" s="12" t="str">
        <f t="shared" si="134"/>
        <v/>
      </c>
      <c r="AH308" s="12" t="str">
        <f t="shared" si="135"/>
        <v/>
      </c>
      <c r="AI308" s="12" t="str">
        <f t="shared" si="136"/>
        <v/>
      </c>
      <c r="AJ308" s="12" t="str">
        <f t="shared" si="137"/>
        <v/>
      </c>
    </row>
    <row r="309" spans="1:36" x14ac:dyDescent="0.25">
      <c r="A309" s="17">
        <f t="shared" si="138"/>
        <v>13</v>
      </c>
      <c r="B309" s="8" t="s">
        <v>39</v>
      </c>
      <c r="C309" s="4" t="s">
        <v>24</v>
      </c>
      <c r="D309" s="5" t="s">
        <v>0</v>
      </c>
      <c r="E309" s="5"/>
      <c r="F309" s="5" t="s">
        <v>1</v>
      </c>
      <c r="G309" s="5" t="s">
        <v>1</v>
      </c>
      <c r="H309" s="17" t="str">
        <f t="shared" si="132"/>
        <v>""</v>
      </c>
      <c r="I309" s="5" t="s">
        <v>46</v>
      </c>
      <c r="J309" s="5" t="s">
        <v>46</v>
      </c>
      <c r="K309" s="5" t="s">
        <v>46</v>
      </c>
      <c r="L309" s="5" t="s">
        <v>46</v>
      </c>
      <c r="M309" s="5" t="s">
        <v>22</v>
      </c>
      <c r="N309" s="8">
        <f t="shared" si="139"/>
        <v>1</v>
      </c>
      <c r="O309" s="5">
        <v>0</v>
      </c>
      <c r="P309" s="5">
        <v>0</v>
      </c>
      <c r="Q309" s="5" t="s">
        <v>23</v>
      </c>
      <c r="R309" s="5" t="s">
        <v>23</v>
      </c>
      <c r="S309" s="5" t="s">
        <v>23</v>
      </c>
      <c r="T309" s="5" t="s">
        <v>46</v>
      </c>
      <c r="U309" s="5" t="s">
        <v>46</v>
      </c>
      <c r="V309" s="5" t="s">
        <v>46</v>
      </c>
      <c r="W309" s="5">
        <v>0</v>
      </c>
      <c r="X309" s="10" t="s">
        <v>77</v>
      </c>
      <c r="Y309" s="10"/>
      <c r="Z309" s="10"/>
      <c r="AB309" s="2" t="str">
        <f t="shared" si="140"/>
        <v xml:space="preserve">/*13*/{" ","","","","",false,false,false,false,10.0,1,0,0,0.0,0.0,0.0,false,false,false,0},//. </v>
      </c>
      <c r="AD309" s="12" t="str">
        <f t="shared" si="133"/>
        <v/>
      </c>
      <c r="AE309" s="12" t="str">
        <f t="shared" si="134"/>
        <v/>
      </c>
      <c r="AH309" s="12" t="str">
        <f t="shared" si="135"/>
        <v/>
      </c>
      <c r="AI309" s="12" t="str">
        <f t="shared" si="136"/>
        <v/>
      </c>
      <c r="AJ309" s="12" t="str">
        <f t="shared" si="137"/>
        <v/>
      </c>
    </row>
    <row r="310" spans="1:36" x14ac:dyDescent="0.25">
      <c r="A310" s="17">
        <f t="shared" si="138"/>
        <v>14</v>
      </c>
      <c r="B310" s="8" t="s">
        <v>40</v>
      </c>
      <c r="C310" s="4" t="s">
        <v>24</v>
      </c>
      <c r="D310" s="5" t="s">
        <v>0</v>
      </c>
      <c r="E310" s="5"/>
      <c r="F310" s="5" t="s">
        <v>1</v>
      </c>
      <c r="G310" s="5" t="s">
        <v>1</v>
      </c>
      <c r="H310" s="17" t="str">
        <f t="shared" si="132"/>
        <v>""</v>
      </c>
      <c r="I310" s="5" t="s">
        <v>46</v>
      </c>
      <c r="J310" s="5" t="s">
        <v>46</v>
      </c>
      <c r="K310" s="5" t="s">
        <v>46</v>
      </c>
      <c r="L310" s="5" t="s">
        <v>46</v>
      </c>
      <c r="M310" s="5" t="s">
        <v>22</v>
      </c>
      <c r="N310" s="8">
        <f t="shared" si="139"/>
        <v>1</v>
      </c>
      <c r="O310" s="5">
        <v>0</v>
      </c>
      <c r="P310" s="5">
        <v>0</v>
      </c>
      <c r="Q310" s="5" t="s">
        <v>23</v>
      </c>
      <c r="R310" s="5" t="s">
        <v>23</v>
      </c>
      <c r="S310" s="5" t="s">
        <v>23</v>
      </c>
      <c r="T310" s="5" t="s">
        <v>46</v>
      </c>
      <c r="U310" s="5" t="s">
        <v>46</v>
      </c>
      <c r="V310" s="5" t="s">
        <v>46</v>
      </c>
      <c r="W310" s="5">
        <v>0</v>
      </c>
      <c r="X310" s="10" t="s">
        <v>77</v>
      </c>
      <c r="Y310" s="10"/>
      <c r="Z310" s="10"/>
      <c r="AB310" s="2" t="str">
        <f t="shared" si="140"/>
        <v xml:space="preserve">/*14*/{" ","","","","",false,false,false,false,10.0,1,0,0,0.0,0.0,0.0,false,false,false,0},//. </v>
      </c>
      <c r="AD310" s="12" t="str">
        <f t="shared" si="133"/>
        <v/>
      </c>
      <c r="AE310" s="12" t="str">
        <f t="shared" si="134"/>
        <v/>
      </c>
      <c r="AH310" s="12" t="str">
        <f t="shared" si="135"/>
        <v/>
      </c>
      <c r="AI310" s="12" t="str">
        <f t="shared" si="136"/>
        <v/>
      </c>
      <c r="AJ310" s="12" t="str">
        <f t="shared" si="137"/>
        <v/>
      </c>
    </row>
    <row r="311" spans="1:36" x14ac:dyDescent="0.25">
      <c r="A311" s="17">
        <f t="shared" si="138"/>
        <v>15</v>
      </c>
      <c r="B311" s="8" t="s">
        <v>41</v>
      </c>
      <c r="C311" s="4" t="s">
        <v>24</v>
      </c>
      <c r="D311" s="5" t="s">
        <v>0</v>
      </c>
      <c r="E311" s="5"/>
      <c r="F311" s="5" t="s">
        <v>1</v>
      </c>
      <c r="G311" s="5" t="s">
        <v>1</v>
      </c>
      <c r="H311" s="17" t="str">
        <f t="shared" si="132"/>
        <v>""</v>
      </c>
      <c r="I311" s="5" t="s">
        <v>46</v>
      </c>
      <c r="J311" s="5" t="s">
        <v>46</v>
      </c>
      <c r="K311" s="5" t="s">
        <v>46</v>
      </c>
      <c r="L311" s="5" t="s">
        <v>46</v>
      </c>
      <c r="M311" s="5" t="s">
        <v>22</v>
      </c>
      <c r="N311" s="8">
        <f t="shared" si="139"/>
        <v>1</v>
      </c>
      <c r="O311" s="5">
        <v>0</v>
      </c>
      <c r="P311" s="5">
        <v>0</v>
      </c>
      <c r="Q311" s="5" t="s">
        <v>23</v>
      </c>
      <c r="R311" s="5" t="s">
        <v>23</v>
      </c>
      <c r="S311" s="5" t="s">
        <v>23</v>
      </c>
      <c r="T311" s="5" t="s">
        <v>46</v>
      </c>
      <c r="U311" s="5" t="s">
        <v>46</v>
      </c>
      <c r="V311" s="5" t="s">
        <v>46</v>
      </c>
      <c r="W311" s="5">
        <v>0</v>
      </c>
      <c r="X311" s="10" t="s">
        <v>77</v>
      </c>
      <c r="Y311" s="10"/>
      <c r="Z311" s="10"/>
      <c r="AB311" s="2" t="str">
        <f t="shared" si="140"/>
        <v xml:space="preserve">/*15*/{" ","","","","",false,false,false,false,10.0,1,0,0,0.0,0.0,0.0,false,false,false,0},//. </v>
      </c>
      <c r="AD311" s="12" t="str">
        <f t="shared" si="133"/>
        <v/>
      </c>
      <c r="AE311" s="12" t="str">
        <f t="shared" si="134"/>
        <v/>
      </c>
      <c r="AH311" s="12" t="str">
        <f t="shared" si="135"/>
        <v/>
      </c>
      <c r="AI311" s="12" t="str">
        <f t="shared" si="136"/>
        <v/>
      </c>
      <c r="AJ311" s="12" t="str">
        <f t="shared" si="137"/>
        <v/>
      </c>
    </row>
    <row r="312" spans="1:36" x14ac:dyDescent="0.25">
      <c r="A312" s="17">
        <f t="shared" si="138"/>
        <v>16</v>
      </c>
      <c r="B312" s="8" t="s">
        <v>42</v>
      </c>
      <c r="C312" s="4" t="s">
        <v>24</v>
      </c>
      <c r="D312" s="5" t="s">
        <v>0</v>
      </c>
      <c r="E312" s="5"/>
      <c r="F312" s="5" t="s">
        <v>1</v>
      </c>
      <c r="G312" s="5" t="s">
        <v>1</v>
      </c>
      <c r="H312" s="17" t="str">
        <f t="shared" si="132"/>
        <v>""</v>
      </c>
      <c r="I312" s="5" t="s">
        <v>46</v>
      </c>
      <c r="J312" s="5" t="s">
        <v>46</v>
      </c>
      <c r="K312" s="5" t="s">
        <v>46</v>
      </c>
      <c r="L312" s="5" t="s">
        <v>46</v>
      </c>
      <c r="M312" s="5" t="s">
        <v>22</v>
      </c>
      <c r="N312" s="8">
        <f t="shared" si="139"/>
        <v>1</v>
      </c>
      <c r="O312" s="5">
        <v>0</v>
      </c>
      <c r="P312" s="5">
        <v>0</v>
      </c>
      <c r="Q312" s="5" t="s">
        <v>23</v>
      </c>
      <c r="R312" s="5" t="s">
        <v>23</v>
      </c>
      <c r="S312" s="5" t="s">
        <v>23</v>
      </c>
      <c r="T312" s="5" t="s">
        <v>46</v>
      </c>
      <c r="U312" s="5" t="s">
        <v>46</v>
      </c>
      <c r="V312" s="5" t="s">
        <v>46</v>
      </c>
      <c r="W312" s="5">
        <v>0</v>
      </c>
      <c r="X312" s="10" t="s">
        <v>77</v>
      </c>
      <c r="Y312" s="10"/>
      <c r="Z312" s="10"/>
      <c r="AB312" s="2" t="str">
        <f t="shared" si="140"/>
        <v xml:space="preserve">/*16*/{" ","","","","",false,false,false,false,10.0,1,0,0,0.0,0.0,0.0,false,false,false,0},//. </v>
      </c>
      <c r="AD312" s="12" t="str">
        <f t="shared" si="133"/>
        <v/>
      </c>
      <c r="AE312" s="12" t="str">
        <f t="shared" si="134"/>
        <v/>
      </c>
      <c r="AH312" s="12" t="str">
        <f t="shared" si="135"/>
        <v/>
      </c>
      <c r="AI312" s="12" t="str">
        <f t="shared" si="136"/>
        <v/>
      </c>
      <c r="AJ312" s="12" t="str">
        <f t="shared" si="137"/>
        <v/>
      </c>
    </row>
    <row r="313" spans="1:36" x14ac:dyDescent="0.25">
      <c r="A313" s="17">
        <f t="shared" si="138"/>
        <v>17</v>
      </c>
      <c r="B313" s="8" t="s">
        <v>43</v>
      </c>
      <c r="C313" s="4" t="s">
        <v>24</v>
      </c>
      <c r="D313" s="5" t="s">
        <v>0</v>
      </c>
      <c r="E313" s="5"/>
      <c r="F313" s="5" t="s">
        <v>1</v>
      </c>
      <c r="G313" s="5" t="s">
        <v>1</v>
      </c>
      <c r="H313" s="17" t="str">
        <f t="shared" si="132"/>
        <v>""</v>
      </c>
      <c r="I313" s="5" t="s">
        <v>46</v>
      </c>
      <c r="J313" s="5" t="s">
        <v>46</v>
      </c>
      <c r="K313" s="5" t="s">
        <v>46</v>
      </c>
      <c r="L313" s="5" t="s">
        <v>46</v>
      </c>
      <c r="M313" s="5" t="s">
        <v>22</v>
      </c>
      <c r="N313" s="8">
        <f t="shared" si="139"/>
        <v>1</v>
      </c>
      <c r="O313" s="5">
        <v>0</v>
      </c>
      <c r="P313" s="5">
        <v>0</v>
      </c>
      <c r="Q313" s="5" t="s">
        <v>23</v>
      </c>
      <c r="R313" s="5" t="s">
        <v>23</v>
      </c>
      <c r="S313" s="5" t="s">
        <v>23</v>
      </c>
      <c r="T313" s="5" t="s">
        <v>46</v>
      </c>
      <c r="U313" s="5" t="s">
        <v>46</v>
      </c>
      <c r="V313" s="5" t="s">
        <v>46</v>
      </c>
      <c r="W313" s="5">
        <v>0</v>
      </c>
      <c r="X313" s="10" t="s">
        <v>77</v>
      </c>
      <c r="Y313" s="10"/>
      <c r="Z313" s="10"/>
      <c r="AB313" s="2" t="str">
        <f t="shared" si="140"/>
        <v xml:space="preserve">/*17*/{" ","","","","",false,false,false,false,10.0,1,0,0,0.0,0.0,0.0,false,false,false,0},//. </v>
      </c>
      <c r="AD313" s="12" t="str">
        <f t="shared" si="133"/>
        <v/>
      </c>
      <c r="AE313" s="12" t="str">
        <f t="shared" si="134"/>
        <v/>
      </c>
      <c r="AH313" s="12" t="str">
        <f t="shared" si="135"/>
        <v/>
      </c>
      <c r="AI313" s="12" t="str">
        <f t="shared" si="136"/>
        <v/>
      </c>
      <c r="AJ313" s="12" t="str">
        <f t="shared" si="137"/>
        <v/>
      </c>
    </row>
    <row r="314" spans="1:36" x14ac:dyDescent="0.25">
      <c r="A314" s="17">
        <f t="shared" si="138"/>
        <v>18</v>
      </c>
      <c r="B314" s="8" t="s">
        <v>44</v>
      </c>
      <c r="C314" s="4" t="s">
        <v>24</v>
      </c>
      <c r="D314" s="5" t="s">
        <v>0</v>
      </c>
      <c r="E314" s="5"/>
      <c r="F314" s="5" t="s">
        <v>1</v>
      </c>
      <c r="G314" s="5" t="s">
        <v>1</v>
      </c>
      <c r="H314" s="17" t="str">
        <f t="shared" si="132"/>
        <v>""</v>
      </c>
      <c r="I314" s="5" t="s">
        <v>46</v>
      </c>
      <c r="J314" s="5" t="s">
        <v>46</v>
      </c>
      <c r="K314" s="5" t="s">
        <v>46</v>
      </c>
      <c r="L314" s="5" t="s">
        <v>46</v>
      </c>
      <c r="M314" s="5" t="s">
        <v>22</v>
      </c>
      <c r="N314" s="8">
        <f t="shared" si="139"/>
        <v>1</v>
      </c>
      <c r="O314" s="5">
        <v>0</v>
      </c>
      <c r="P314" s="5">
        <v>0</v>
      </c>
      <c r="Q314" s="5" t="s">
        <v>23</v>
      </c>
      <c r="R314" s="5" t="s">
        <v>23</v>
      </c>
      <c r="S314" s="5" t="s">
        <v>23</v>
      </c>
      <c r="T314" s="5" t="s">
        <v>46</v>
      </c>
      <c r="U314" s="5" t="s">
        <v>46</v>
      </c>
      <c r="V314" s="5" t="s">
        <v>46</v>
      </c>
      <c r="W314" s="5">
        <v>0</v>
      </c>
      <c r="X314" s="10" t="s">
        <v>77</v>
      </c>
      <c r="Y314" s="10"/>
      <c r="Z314" s="10"/>
      <c r="AB314" s="2" t="str">
        <f t="shared" si="140"/>
        <v xml:space="preserve">/*18*/{" ","","","","",false,false,false,false,10.0,1,0,0,0.0,0.0,0.0,false,false,false,0},//. </v>
      </c>
      <c r="AD314" s="12" t="str">
        <f t="shared" si="133"/>
        <v/>
      </c>
      <c r="AE314" s="12" t="str">
        <f t="shared" si="134"/>
        <v/>
      </c>
      <c r="AH314" s="12" t="str">
        <f t="shared" si="135"/>
        <v/>
      </c>
      <c r="AI314" s="12" t="str">
        <f t="shared" si="136"/>
        <v/>
      </c>
      <c r="AJ314" s="12" t="str">
        <f t="shared" si="137"/>
        <v/>
      </c>
    </row>
    <row r="315" spans="1:36" x14ac:dyDescent="0.25">
      <c r="A315" s="17">
        <f t="shared" si="138"/>
        <v>19</v>
      </c>
      <c r="B315" s="8" t="s">
        <v>45</v>
      </c>
      <c r="C315" s="4" t="s">
        <v>24</v>
      </c>
      <c r="D315" s="5" t="s">
        <v>0</v>
      </c>
      <c r="E315" s="5"/>
      <c r="F315" s="5" t="s">
        <v>1</v>
      </c>
      <c r="G315" s="5" t="s">
        <v>1</v>
      </c>
      <c r="H315" s="17" t="str">
        <f t="shared" si="132"/>
        <v>""</v>
      </c>
      <c r="I315" s="5" t="s">
        <v>46</v>
      </c>
      <c r="J315" s="5" t="s">
        <v>46</v>
      </c>
      <c r="K315" s="5" t="s">
        <v>46</v>
      </c>
      <c r="L315" s="5" t="s">
        <v>46</v>
      </c>
      <c r="M315" s="5" t="s">
        <v>22</v>
      </c>
      <c r="N315" s="8">
        <f t="shared" si="139"/>
        <v>1</v>
      </c>
      <c r="O315" s="5">
        <v>0</v>
      </c>
      <c r="P315" s="5">
        <v>0</v>
      </c>
      <c r="Q315" s="5" t="s">
        <v>23</v>
      </c>
      <c r="R315" s="5" t="s">
        <v>23</v>
      </c>
      <c r="S315" s="5" t="s">
        <v>23</v>
      </c>
      <c r="T315" s="5" t="s">
        <v>46</v>
      </c>
      <c r="U315" s="5" t="s">
        <v>46</v>
      </c>
      <c r="V315" s="5" t="s">
        <v>46</v>
      </c>
      <c r="W315" s="5">
        <v>0</v>
      </c>
      <c r="X315" s="10" t="s">
        <v>77</v>
      </c>
      <c r="Y315" s="10"/>
      <c r="Z315" s="10"/>
      <c r="AB315" s="2" t="str">
        <f t="shared" si="140"/>
        <v xml:space="preserve">/*19*/{" ","","","","",false,false,false,false,10.0,1,0,0,0.0,0.0,0.0,false,false,false,0},//. </v>
      </c>
      <c r="AD315" s="12" t="str">
        <f>IF(X315="Да",CONCATENATE("float &amp;",SUBSTITUTE(Z315," ","")," = Screens[",$A$293,"][",A315,"].Param;// Ссылка. ",$Y$32,". ",Y315),"")</f>
        <v/>
      </c>
      <c r="AE315" s="12" t="str">
        <f>IF(X315="Да",CONCATENATE("float ",SUBSTITUTE(Z315," ","")," = Screens[",$A$293,"][",A315,"].Param;//",$Y$32,". ",Y315),"")</f>
        <v/>
      </c>
      <c r="AH315" s="12" t="str">
        <f>IF(X315="Да",CONCATENATE("Ref.",,SUBSTITUTE(Z315," ","")," = ",$AI$1,$B$293,SUBSTITUTE(E315," ",""),";//",$Y$32,". ",Y315),"")</f>
        <v/>
      </c>
      <c r="AI315" s="12" t="str">
        <f t="shared" si="136"/>
        <v/>
      </c>
      <c r="AJ315" s="12" t="str">
        <f t="shared" ref="AJ315" si="141">IF(X315="Да",CONCATENATE($AI$1,SUBSTITUTE(Z315," ","")," = ",M315,";//",$Y$32,". ",Y315),"")</f>
        <v/>
      </c>
    </row>
    <row r="316" spans="1:36" x14ac:dyDescent="0.25">
      <c r="AB316" s="3" t="s">
        <v>25</v>
      </c>
    </row>
    <row r="317" spans="1:36" x14ac:dyDescent="0.25">
      <c r="A317" s="14">
        <f>A293+1</f>
        <v>13</v>
      </c>
      <c r="D317" s="7" t="s">
        <v>67</v>
      </c>
      <c r="AB317" s="3" t="s">
        <v>51</v>
      </c>
    </row>
    <row r="318" spans="1:36" ht="45" x14ac:dyDescent="0.25">
      <c r="A318" s="15" t="s">
        <v>78</v>
      </c>
      <c r="B318" s="18"/>
      <c r="C318" s="6" t="s">
        <v>25</v>
      </c>
      <c r="D318" s="6" t="s">
        <v>17</v>
      </c>
      <c r="E318" s="6" t="s">
        <v>18</v>
      </c>
      <c r="F318" s="6" t="s">
        <v>19</v>
      </c>
      <c r="G318" s="6" t="s">
        <v>20</v>
      </c>
      <c r="H318" s="6" t="s">
        <v>21</v>
      </c>
      <c r="I318" s="6" t="s">
        <v>2</v>
      </c>
      <c r="J318" s="6" t="s">
        <v>3</v>
      </c>
      <c r="K318" s="6" t="s">
        <v>4</v>
      </c>
      <c r="L318" s="6" t="s">
        <v>5</v>
      </c>
      <c r="M318" s="6" t="s">
        <v>6</v>
      </c>
      <c r="N318" s="6" t="s">
        <v>7</v>
      </c>
      <c r="O318" s="6" t="s">
        <v>8</v>
      </c>
      <c r="P318" s="6" t="s">
        <v>9</v>
      </c>
      <c r="Q318" s="6" t="s">
        <v>10</v>
      </c>
      <c r="R318" s="6" t="s">
        <v>11</v>
      </c>
      <c r="S318" s="6" t="s">
        <v>12</v>
      </c>
      <c r="T318" s="6" t="s">
        <v>13</v>
      </c>
      <c r="U318" s="6" t="s">
        <v>14</v>
      </c>
      <c r="V318" s="6" t="s">
        <v>15</v>
      </c>
      <c r="W318" s="6" t="s">
        <v>16</v>
      </c>
      <c r="X318" s="6" t="s">
        <v>76</v>
      </c>
      <c r="Y318" s="6" t="s">
        <v>80</v>
      </c>
      <c r="Z318" s="6" t="s">
        <v>97</v>
      </c>
      <c r="AA318" s="1"/>
      <c r="AB318" s="2" t="str">
        <f>CONCATENATE(D317," - ",E320)</f>
        <v xml:space="preserve">//Экран 13 - </v>
      </c>
    </row>
    <row r="319" spans="1:36" x14ac:dyDescent="0.25">
      <c r="A319" s="16"/>
      <c r="B319" s="13"/>
      <c r="C319" s="4" t="s">
        <v>24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11"/>
      <c r="Y319" s="11"/>
      <c r="Z319" s="11"/>
      <c r="AA319" s="1"/>
      <c r="AB319" s="3" t="str">
        <f>C319</f>
        <v>{</v>
      </c>
    </row>
    <row r="320" spans="1:36" x14ac:dyDescent="0.25">
      <c r="A320" s="17">
        <v>0</v>
      </c>
      <c r="B320" s="8" t="s">
        <v>27</v>
      </c>
      <c r="C320" s="4" t="s">
        <v>24</v>
      </c>
      <c r="D320" s="5" t="s">
        <v>0</v>
      </c>
      <c r="E320" s="5"/>
      <c r="F320" s="5" t="s">
        <v>1</v>
      </c>
      <c r="G320" s="5" t="s">
        <v>1</v>
      </c>
      <c r="H320" s="17" t="str">
        <f t="shared" ref="H320:H339" si="142">IF(AND(I320="true",J320="false"),""" ""","""""")</f>
        <v>""</v>
      </c>
      <c r="I320" s="5" t="s">
        <v>46</v>
      </c>
      <c r="J320" s="5" t="s">
        <v>46</v>
      </c>
      <c r="K320" s="5" t="s">
        <v>46</v>
      </c>
      <c r="L320" s="5" t="s">
        <v>47</v>
      </c>
      <c r="M320" s="5" t="s">
        <v>22</v>
      </c>
      <c r="N320" s="8">
        <v>1</v>
      </c>
      <c r="O320" s="5">
        <v>0</v>
      </c>
      <c r="P320" s="5">
        <v>0</v>
      </c>
      <c r="Q320" s="5" t="s">
        <v>48</v>
      </c>
      <c r="R320" s="5" t="s">
        <v>23</v>
      </c>
      <c r="S320" s="5" t="s">
        <v>49</v>
      </c>
      <c r="T320" s="5" t="s">
        <v>46</v>
      </c>
      <c r="U320" s="5" t="s">
        <v>46</v>
      </c>
      <c r="V320" s="5" t="s">
        <v>46</v>
      </c>
      <c r="W320" s="5">
        <v>0</v>
      </c>
      <c r="X320" s="10" t="s">
        <v>77</v>
      </c>
      <c r="Y320" s="10"/>
      <c r="Z320" s="10"/>
      <c r="AB320" s="2" t="str">
        <f>CONCATENATE(B320,C320,D320,",""",E320,""",",F320,",",G320,",",H320,",",I320,",",J320,",",K320,",",L320,",",M320,",",N320,",",O320,",",P320,",",Q320,",",R320,",",S320,",",T320,",",U320,",",V320,",",W320,"},//",Y320)</f>
        <v>/*0*/{" ","","","","",false,false,false,true,10.0,1,0,0,100.0,0.0,0.1,false,false,false,0},//</v>
      </c>
      <c r="AD320" s="12" t="str">
        <f t="shared" ref="AD320:AD338" si="143">IF(X320="Да",IF(T320="false",CONCATENATE("float &amp;",SUBSTITUTE(Z320," ","")," = Screens[",$A$320,"][",A320,"].Param;// Ссылка. ",$Y$32,". ",Y320),CONCATENATE("bool &amp;",SUBSTITUTE(Z320," ","")," = Screens[",$A$320,"][",A320,"].BoolParam;// Ссылка. ",$Y$32,". ",Y320)),"")</f>
        <v/>
      </c>
      <c r="AE320" s="12" t="str">
        <f t="shared" ref="AE320:AE338" si="144">IF(X320="Да",IF(T320="false",CONCATENATE("float ",SUBSTITUTE(Z320," ","")," = Screens[",$A$320,"][",A320,"].Param;//",$Y$32,". ",Y320),CONCATENATE("bool ",SUBSTITUTE(Z320," ","")," = Screens[",$A$320,"][",A320,"].BoolParam;//",$Y$32,". ",Y320)),"")</f>
        <v/>
      </c>
      <c r="AH320" s="12" t="str">
        <f t="shared" ref="AH320:AH338" si="145">IF(X320="Да",CONCATENATE("Ref.",,SUBSTITUTE(Z320," ","")," = ",$AI$1,SUBSTITUTE(Z320," ",""),";//",$Y$32,". ",Y320),"")</f>
        <v/>
      </c>
      <c r="AI320" s="12" t="str">
        <f t="shared" ref="AI320:AI339" si="146">IF(X320="Да",CONCATENATE($AI$1,SUBSTITUTE(Z320," ","")," = Ref.",SUBSTITUTE(Z320," ",""),";//",$Y$32,". ",Y320),"")</f>
        <v/>
      </c>
      <c r="AJ320" s="12" t="str">
        <f t="shared" ref="AJ320:AJ338" si="147">IF(X320="Да",IF(T320="false",CONCATENATE($AI$1,SUBSTITUTE(Z320," ","")," = ",M320,";//",$Y$32,". ",Y320),CONCATENATE($AI$1,SUBSTITUTE(Z320," ","")," = ",U320,";//",$Y$32,". ",Y320)),"")</f>
        <v/>
      </c>
    </row>
    <row r="321" spans="1:36" x14ac:dyDescent="0.25">
      <c r="A321" s="17">
        <f>A320+1</f>
        <v>1</v>
      </c>
      <c r="B321" s="8" t="s">
        <v>26</v>
      </c>
      <c r="C321" s="4" t="s">
        <v>24</v>
      </c>
      <c r="D321" s="5" t="s">
        <v>0</v>
      </c>
      <c r="E321" s="5"/>
      <c r="F321" s="5" t="s">
        <v>1</v>
      </c>
      <c r="G321" s="5" t="s">
        <v>1</v>
      </c>
      <c r="H321" s="17" t="str">
        <f t="shared" si="142"/>
        <v>""</v>
      </c>
      <c r="I321" s="5" t="s">
        <v>46</v>
      </c>
      <c r="J321" s="5" t="s">
        <v>46</v>
      </c>
      <c r="K321" s="5" t="s">
        <v>46</v>
      </c>
      <c r="L321" s="5" t="s">
        <v>46</v>
      </c>
      <c r="M321" s="5" t="s">
        <v>22</v>
      </c>
      <c r="N321" s="8">
        <f>N320</f>
        <v>1</v>
      </c>
      <c r="O321" s="5">
        <v>0</v>
      </c>
      <c r="P321" s="5">
        <v>0</v>
      </c>
      <c r="Q321" s="5" t="s">
        <v>23</v>
      </c>
      <c r="R321" s="5" t="s">
        <v>23</v>
      </c>
      <c r="S321" s="5" t="s">
        <v>23</v>
      </c>
      <c r="T321" s="5" t="s">
        <v>46</v>
      </c>
      <c r="U321" s="5" t="s">
        <v>46</v>
      </c>
      <c r="V321" s="5" t="s">
        <v>46</v>
      </c>
      <c r="W321" s="5">
        <v>0</v>
      </c>
      <c r="X321" s="10" t="s">
        <v>77</v>
      </c>
      <c r="Y321" s="10"/>
      <c r="Z321" s="10"/>
      <c r="AB321" s="2" t="str">
        <f>CONCATENATE(B321,C321,D321,",""",E321,""",",F321,",",G321,",",H321,",",I321,",",J321,",",K321,",",L321,",",M321,",",N321,",",O321,",",P321,",",Q321,",",R321,",",S321,",",T321,",",U321,",",V321,",",W321,"},//",Y$321,". ",Y321)</f>
        <v xml:space="preserve">/*1*/{" ","","","","",false,false,false,false,10.0,1,0,0,0.0,0.0,0.0,false,false,false,0},//. </v>
      </c>
      <c r="AD321" s="12" t="str">
        <f t="shared" si="143"/>
        <v/>
      </c>
      <c r="AE321" s="12" t="str">
        <f t="shared" si="144"/>
        <v/>
      </c>
      <c r="AH321" s="12" t="str">
        <f t="shared" si="145"/>
        <v/>
      </c>
      <c r="AI321" s="12" t="str">
        <f t="shared" si="146"/>
        <v/>
      </c>
      <c r="AJ321" s="12" t="str">
        <f t="shared" si="147"/>
        <v/>
      </c>
    </row>
    <row r="322" spans="1:36" x14ac:dyDescent="0.25">
      <c r="A322" s="17">
        <f t="shared" ref="A322:A339" si="148">A321+1</f>
        <v>2</v>
      </c>
      <c r="B322" s="8" t="s">
        <v>28</v>
      </c>
      <c r="C322" s="4" t="s">
        <v>24</v>
      </c>
      <c r="D322" s="5" t="s">
        <v>0</v>
      </c>
      <c r="E322" s="5"/>
      <c r="F322" s="5" t="s">
        <v>1</v>
      </c>
      <c r="G322" s="5" t="s">
        <v>1</v>
      </c>
      <c r="H322" s="17" t="str">
        <f t="shared" si="142"/>
        <v>""</v>
      </c>
      <c r="I322" s="5" t="s">
        <v>46</v>
      </c>
      <c r="J322" s="5" t="s">
        <v>46</v>
      </c>
      <c r="K322" s="5" t="s">
        <v>46</v>
      </c>
      <c r="L322" s="5" t="s">
        <v>46</v>
      </c>
      <c r="M322" s="5" t="s">
        <v>22</v>
      </c>
      <c r="N322" s="8">
        <f t="shared" ref="N322:N339" si="149">N321</f>
        <v>1</v>
      </c>
      <c r="O322" s="5">
        <v>0</v>
      </c>
      <c r="P322" s="5">
        <v>0</v>
      </c>
      <c r="Q322" s="5" t="s">
        <v>23</v>
      </c>
      <c r="R322" s="5" t="s">
        <v>23</v>
      </c>
      <c r="S322" s="5" t="s">
        <v>23</v>
      </c>
      <c r="T322" s="5" t="s">
        <v>46</v>
      </c>
      <c r="U322" s="5" t="s">
        <v>46</v>
      </c>
      <c r="V322" s="5" t="s">
        <v>46</v>
      </c>
      <c r="W322" s="5">
        <v>0</v>
      </c>
      <c r="X322" s="10" t="s">
        <v>77</v>
      </c>
      <c r="Y322" s="10"/>
      <c r="Z322" s="10"/>
      <c r="AB322" s="2" t="str">
        <f t="shared" ref="AB322:AB339" si="150">CONCATENATE(B322,C322,D322,",""",E322,""",",F322,",",G322,",",H322,",",I322,",",J322,",",K322,",",L322,",",M322,",",N322,",",O322,",",P322,",",Q322,",",R322,",",S322,",",T322,",",U322,",",V322,",",W322,"},//",Y$321,". ",Y322)</f>
        <v xml:space="preserve">/*2*/{" ","","","","",false,false,false,false,10.0,1,0,0,0.0,0.0,0.0,false,false,false,0},//. </v>
      </c>
      <c r="AD322" s="12" t="str">
        <f t="shared" si="143"/>
        <v/>
      </c>
      <c r="AE322" s="12" t="str">
        <f t="shared" si="144"/>
        <v/>
      </c>
      <c r="AH322" s="12" t="str">
        <f t="shared" si="145"/>
        <v/>
      </c>
      <c r="AI322" s="12" t="str">
        <f t="shared" si="146"/>
        <v/>
      </c>
      <c r="AJ322" s="12" t="str">
        <f t="shared" si="147"/>
        <v/>
      </c>
    </row>
    <row r="323" spans="1:36" x14ac:dyDescent="0.25">
      <c r="A323" s="17">
        <f t="shared" si="148"/>
        <v>3</v>
      </c>
      <c r="B323" s="8" t="s">
        <v>29</v>
      </c>
      <c r="C323" s="4" t="s">
        <v>24</v>
      </c>
      <c r="D323" s="5" t="s">
        <v>0</v>
      </c>
      <c r="E323" s="5"/>
      <c r="F323" s="5" t="s">
        <v>1</v>
      </c>
      <c r="G323" s="5" t="s">
        <v>1</v>
      </c>
      <c r="H323" s="17" t="str">
        <f t="shared" si="142"/>
        <v>""</v>
      </c>
      <c r="I323" s="5" t="s">
        <v>46</v>
      </c>
      <c r="J323" s="5" t="s">
        <v>46</v>
      </c>
      <c r="K323" s="5" t="s">
        <v>46</v>
      </c>
      <c r="L323" s="5" t="s">
        <v>46</v>
      </c>
      <c r="M323" s="5" t="s">
        <v>22</v>
      </c>
      <c r="N323" s="8">
        <f t="shared" si="149"/>
        <v>1</v>
      </c>
      <c r="O323" s="5">
        <v>2</v>
      </c>
      <c r="P323" s="5">
        <v>0</v>
      </c>
      <c r="Q323" s="5" t="s">
        <v>23</v>
      </c>
      <c r="R323" s="5" t="s">
        <v>23</v>
      </c>
      <c r="S323" s="5" t="s">
        <v>23</v>
      </c>
      <c r="T323" s="5" t="s">
        <v>46</v>
      </c>
      <c r="U323" s="5" t="s">
        <v>46</v>
      </c>
      <c r="V323" s="5" t="s">
        <v>46</v>
      </c>
      <c r="W323" s="5">
        <v>0</v>
      </c>
      <c r="X323" s="10" t="s">
        <v>77</v>
      </c>
      <c r="Y323" s="10"/>
      <c r="Z323" s="10"/>
      <c r="AB323" s="2" t="str">
        <f t="shared" si="150"/>
        <v xml:space="preserve">/*3*/{" ","","","","",false,false,false,false,10.0,1,2,0,0.0,0.0,0.0,false,false,false,0},//. </v>
      </c>
      <c r="AD323" s="12" t="str">
        <f t="shared" si="143"/>
        <v/>
      </c>
      <c r="AE323" s="12" t="str">
        <f t="shared" si="144"/>
        <v/>
      </c>
      <c r="AH323" s="12" t="str">
        <f t="shared" si="145"/>
        <v/>
      </c>
      <c r="AI323" s="12" t="str">
        <f t="shared" si="146"/>
        <v/>
      </c>
      <c r="AJ323" s="12" t="str">
        <f t="shared" si="147"/>
        <v/>
      </c>
    </row>
    <row r="324" spans="1:36" x14ac:dyDescent="0.25">
      <c r="A324" s="17">
        <f t="shared" si="148"/>
        <v>4</v>
      </c>
      <c r="B324" s="8" t="s">
        <v>30</v>
      </c>
      <c r="C324" s="4" t="s">
        <v>24</v>
      </c>
      <c r="D324" s="5" t="s">
        <v>0</v>
      </c>
      <c r="E324" s="5"/>
      <c r="F324" s="5" t="s">
        <v>1</v>
      </c>
      <c r="G324" s="5" t="s">
        <v>1</v>
      </c>
      <c r="H324" s="17" t="str">
        <f t="shared" si="142"/>
        <v>""</v>
      </c>
      <c r="I324" s="5" t="s">
        <v>46</v>
      </c>
      <c r="J324" s="5" t="s">
        <v>46</v>
      </c>
      <c r="K324" s="5" t="s">
        <v>46</v>
      </c>
      <c r="L324" s="5" t="s">
        <v>46</v>
      </c>
      <c r="M324" s="5" t="s">
        <v>22</v>
      </c>
      <c r="N324" s="8">
        <f t="shared" si="149"/>
        <v>1</v>
      </c>
      <c r="O324" s="5">
        <v>0</v>
      </c>
      <c r="P324" s="5">
        <v>0</v>
      </c>
      <c r="Q324" s="5" t="s">
        <v>23</v>
      </c>
      <c r="R324" s="5" t="s">
        <v>23</v>
      </c>
      <c r="S324" s="5" t="s">
        <v>23</v>
      </c>
      <c r="T324" s="5" t="s">
        <v>46</v>
      </c>
      <c r="U324" s="5" t="s">
        <v>46</v>
      </c>
      <c r="V324" s="5" t="s">
        <v>46</v>
      </c>
      <c r="W324" s="5">
        <v>0</v>
      </c>
      <c r="X324" s="10" t="s">
        <v>77</v>
      </c>
      <c r="Y324" s="10"/>
      <c r="Z324" s="10"/>
      <c r="AB324" s="2" t="str">
        <f t="shared" si="150"/>
        <v xml:space="preserve">/*4*/{" ","","","","",false,false,false,false,10.0,1,0,0,0.0,0.0,0.0,false,false,false,0},//. </v>
      </c>
      <c r="AD324" s="12" t="str">
        <f t="shared" si="143"/>
        <v/>
      </c>
      <c r="AE324" s="12" t="str">
        <f t="shared" si="144"/>
        <v/>
      </c>
      <c r="AH324" s="12" t="str">
        <f t="shared" si="145"/>
        <v/>
      </c>
      <c r="AI324" s="12" t="str">
        <f t="shared" si="146"/>
        <v/>
      </c>
      <c r="AJ324" s="12" t="str">
        <f t="shared" si="147"/>
        <v/>
      </c>
    </row>
    <row r="325" spans="1:36" x14ac:dyDescent="0.25">
      <c r="A325" s="17">
        <f t="shared" si="148"/>
        <v>5</v>
      </c>
      <c r="B325" s="8" t="s">
        <v>31</v>
      </c>
      <c r="C325" s="4" t="s">
        <v>24</v>
      </c>
      <c r="D325" s="5" t="s">
        <v>0</v>
      </c>
      <c r="E325" s="5"/>
      <c r="F325" s="5" t="s">
        <v>1</v>
      </c>
      <c r="G325" s="5" t="s">
        <v>1</v>
      </c>
      <c r="H325" s="17" t="str">
        <f t="shared" si="142"/>
        <v>""</v>
      </c>
      <c r="I325" s="5" t="s">
        <v>46</v>
      </c>
      <c r="J325" s="5" t="s">
        <v>46</v>
      </c>
      <c r="K325" s="5" t="s">
        <v>46</v>
      </c>
      <c r="L325" s="5" t="s">
        <v>46</v>
      </c>
      <c r="M325" s="5" t="s">
        <v>22</v>
      </c>
      <c r="N325" s="8">
        <f t="shared" si="149"/>
        <v>1</v>
      </c>
      <c r="O325" s="5">
        <v>0</v>
      </c>
      <c r="P325" s="5">
        <v>0</v>
      </c>
      <c r="Q325" s="5" t="s">
        <v>23</v>
      </c>
      <c r="R325" s="5" t="s">
        <v>23</v>
      </c>
      <c r="S325" s="5" t="s">
        <v>23</v>
      </c>
      <c r="T325" s="5" t="s">
        <v>46</v>
      </c>
      <c r="U325" s="5" t="s">
        <v>46</v>
      </c>
      <c r="V325" s="5" t="s">
        <v>46</v>
      </c>
      <c r="W325" s="5">
        <v>0</v>
      </c>
      <c r="X325" s="10" t="s">
        <v>77</v>
      </c>
      <c r="Y325" s="10"/>
      <c r="Z325" s="10"/>
      <c r="AB325" s="2" t="str">
        <f t="shared" si="150"/>
        <v xml:space="preserve">/*5*/{" ","","","","",false,false,false,false,10.0,1,0,0,0.0,0.0,0.0,false,false,false,0},//. </v>
      </c>
      <c r="AD325" s="12" t="str">
        <f t="shared" si="143"/>
        <v/>
      </c>
      <c r="AE325" s="12" t="str">
        <f t="shared" si="144"/>
        <v/>
      </c>
      <c r="AH325" s="12" t="str">
        <f t="shared" si="145"/>
        <v/>
      </c>
      <c r="AI325" s="12" t="str">
        <f t="shared" si="146"/>
        <v/>
      </c>
      <c r="AJ325" s="12" t="str">
        <f t="shared" si="147"/>
        <v/>
      </c>
    </row>
    <row r="326" spans="1:36" x14ac:dyDescent="0.25">
      <c r="A326" s="17">
        <f t="shared" si="148"/>
        <v>6</v>
      </c>
      <c r="B326" s="8" t="s">
        <v>32</v>
      </c>
      <c r="C326" s="4" t="s">
        <v>24</v>
      </c>
      <c r="D326" s="5" t="s">
        <v>0</v>
      </c>
      <c r="E326" s="5"/>
      <c r="F326" s="5" t="s">
        <v>1</v>
      </c>
      <c r="G326" s="5" t="s">
        <v>1</v>
      </c>
      <c r="H326" s="17" t="str">
        <f t="shared" si="142"/>
        <v>""</v>
      </c>
      <c r="I326" s="5" t="s">
        <v>46</v>
      </c>
      <c r="J326" s="5" t="s">
        <v>46</v>
      </c>
      <c r="K326" s="5" t="s">
        <v>46</v>
      </c>
      <c r="L326" s="5" t="s">
        <v>46</v>
      </c>
      <c r="M326" s="5" t="s">
        <v>22</v>
      </c>
      <c r="N326" s="8">
        <f t="shared" si="149"/>
        <v>1</v>
      </c>
      <c r="O326" s="5">
        <v>0</v>
      </c>
      <c r="P326" s="5">
        <v>0</v>
      </c>
      <c r="Q326" s="5" t="s">
        <v>23</v>
      </c>
      <c r="R326" s="5" t="s">
        <v>23</v>
      </c>
      <c r="S326" s="5" t="s">
        <v>23</v>
      </c>
      <c r="T326" s="5" t="s">
        <v>46</v>
      </c>
      <c r="U326" s="5" t="s">
        <v>46</v>
      </c>
      <c r="V326" s="5" t="s">
        <v>46</v>
      </c>
      <c r="W326" s="5">
        <v>0</v>
      </c>
      <c r="X326" s="10" t="s">
        <v>77</v>
      </c>
      <c r="Y326" s="10"/>
      <c r="Z326" s="10"/>
      <c r="AB326" s="2" t="str">
        <f t="shared" si="150"/>
        <v xml:space="preserve">/*6*/{" ","","","","",false,false,false,false,10.0,1,0,0,0.0,0.0,0.0,false,false,false,0},//. </v>
      </c>
      <c r="AD326" s="12" t="str">
        <f t="shared" si="143"/>
        <v/>
      </c>
      <c r="AE326" s="12" t="str">
        <f t="shared" si="144"/>
        <v/>
      </c>
      <c r="AH326" s="12" t="str">
        <f t="shared" si="145"/>
        <v/>
      </c>
      <c r="AI326" s="12" t="str">
        <f t="shared" si="146"/>
        <v/>
      </c>
      <c r="AJ326" s="12" t="str">
        <f t="shared" si="147"/>
        <v/>
      </c>
    </row>
    <row r="327" spans="1:36" x14ac:dyDescent="0.25">
      <c r="A327" s="17">
        <f t="shared" si="148"/>
        <v>7</v>
      </c>
      <c r="B327" s="8" t="s">
        <v>33</v>
      </c>
      <c r="C327" s="4" t="s">
        <v>24</v>
      </c>
      <c r="D327" s="5" t="s">
        <v>0</v>
      </c>
      <c r="E327" s="5"/>
      <c r="F327" s="5" t="s">
        <v>1</v>
      </c>
      <c r="G327" s="5" t="s">
        <v>1</v>
      </c>
      <c r="H327" s="17" t="str">
        <f t="shared" si="142"/>
        <v>""</v>
      </c>
      <c r="I327" s="5" t="s">
        <v>46</v>
      </c>
      <c r="J327" s="5" t="s">
        <v>46</v>
      </c>
      <c r="K327" s="5" t="s">
        <v>46</v>
      </c>
      <c r="L327" s="5" t="s">
        <v>46</v>
      </c>
      <c r="M327" s="5" t="s">
        <v>22</v>
      </c>
      <c r="N327" s="8">
        <f t="shared" si="149"/>
        <v>1</v>
      </c>
      <c r="O327" s="5">
        <v>0</v>
      </c>
      <c r="P327" s="5">
        <v>0</v>
      </c>
      <c r="Q327" s="5" t="s">
        <v>23</v>
      </c>
      <c r="R327" s="5" t="s">
        <v>23</v>
      </c>
      <c r="S327" s="5" t="s">
        <v>23</v>
      </c>
      <c r="T327" s="5" t="s">
        <v>46</v>
      </c>
      <c r="U327" s="5" t="s">
        <v>46</v>
      </c>
      <c r="V327" s="5" t="s">
        <v>46</v>
      </c>
      <c r="W327" s="5">
        <v>0</v>
      </c>
      <c r="X327" s="10" t="s">
        <v>77</v>
      </c>
      <c r="Y327" s="10"/>
      <c r="Z327" s="10"/>
      <c r="AB327" s="2" t="str">
        <f t="shared" si="150"/>
        <v xml:space="preserve">/*7*/{" ","","","","",false,false,false,false,10.0,1,0,0,0.0,0.0,0.0,false,false,false,0},//. </v>
      </c>
      <c r="AD327" s="12" t="str">
        <f t="shared" si="143"/>
        <v/>
      </c>
      <c r="AE327" s="12" t="str">
        <f t="shared" si="144"/>
        <v/>
      </c>
      <c r="AH327" s="12" t="str">
        <f t="shared" si="145"/>
        <v/>
      </c>
      <c r="AI327" s="12" t="str">
        <f t="shared" si="146"/>
        <v/>
      </c>
      <c r="AJ327" s="12" t="str">
        <f t="shared" si="147"/>
        <v/>
      </c>
    </row>
    <row r="328" spans="1:36" x14ac:dyDescent="0.25">
      <c r="A328" s="17">
        <f t="shared" si="148"/>
        <v>8</v>
      </c>
      <c r="B328" s="8" t="s">
        <v>34</v>
      </c>
      <c r="C328" s="4" t="s">
        <v>24</v>
      </c>
      <c r="D328" s="5" t="s">
        <v>0</v>
      </c>
      <c r="E328" s="5"/>
      <c r="F328" s="5" t="s">
        <v>1</v>
      </c>
      <c r="G328" s="5" t="s">
        <v>1</v>
      </c>
      <c r="H328" s="17" t="str">
        <f t="shared" si="142"/>
        <v>""</v>
      </c>
      <c r="I328" s="5" t="s">
        <v>46</v>
      </c>
      <c r="J328" s="5" t="s">
        <v>46</v>
      </c>
      <c r="K328" s="5" t="s">
        <v>46</v>
      </c>
      <c r="L328" s="5" t="s">
        <v>46</v>
      </c>
      <c r="M328" s="5" t="s">
        <v>22</v>
      </c>
      <c r="N328" s="8">
        <f t="shared" si="149"/>
        <v>1</v>
      </c>
      <c r="O328" s="5">
        <v>0</v>
      </c>
      <c r="P328" s="5">
        <v>0</v>
      </c>
      <c r="Q328" s="5" t="s">
        <v>23</v>
      </c>
      <c r="R328" s="5" t="s">
        <v>23</v>
      </c>
      <c r="S328" s="5" t="s">
        <v>23</v>
      </c>
      <c r="T328" s="5" t="s">
        <v>46</v>
      </c>
      <c r="U328" s="5" t="s">
        <v>46</v>
      </c>
      <c r="V328" s="5" t="s">
        <v>46</v>
      </c>
      <c r="W328" s="5">
        <v>0</v>
      </c>
      <c r="X328" s="10" t="s">
        <v>77</v>
      </c>
      <c r="Y328" s="10"/>
      <c r="Z328" s="10"/>
      <c r="AB328" s="2" t="str">
        <f t="shared" si="150"/>
        <v xml:space="preserve">/*8*/{" ","","","","",false,false,false,false,10.0,1,0,0,0.0,0.0,0.0,false,false,false,0},//. </v>
      </c>
      <c r="AD328" s="12" t="str">
        <f t="shared" si="143"/>
        <v/>
      </c>
      <c r="AE328" s="12" t="str">
        <f t="shared" si="144"/>
        <v/>
      </c>
      <c r="AH328" s="12" t="str">
        <f t="shared" si="145"/>
        <v/>
      </c>
      <c r="AI328" s="12" t="str">
        <f t="shared" si="146"/>
        <v/>
      </c>
      <c r="AJ328" s="12" t="str">
        <f t="shared" si="147"/>
        <v/>
      </c>
    </row>
    <row r="329" spans="1:36" x14ac:dyDescent="0.25">
      <c r="A329" s="17">
        <f t="shared" si="148"/>
        <v>9</v>
      </c>
      <c r="B329" s="8" t="s">
        <v>35</v>
      </c>
      <c r="C329" s="4" t="s">
        <v>24</v>
      </c>
      <c r="D329" s="5" t="s">
        <v>0</v>
      </c>
      <c r="E329" s="5"/>
      <c r="F329" s="5" t="s">
        <v>1</v>
      </c>
      <c r="G329" s="5" t="s">
        <v>1</v>
      </c>
      <c r="H329" s="17" t="str">
        <f t="shared" si="142"/>
        <v>""</v>
      </c>
      <c r="I329" s="5" t="s">
        <v>46</v>
      </c>
      <c r="J329" s="5" t="s">
        <v>46</v>
      </c>
      <c r="K329" s="5" t="s">
        <v>46</v>
      </c>
      <c r="L329" s="5" t="s">
        <v>46</v>
      </c>
      <c r="M329" s="5" t="s">
        <v>22</v>
      </c>
      <c r="N329" s="8">
        <f t="shared" si="149"/>
        <v>1</v>
      </c>
      <c r="O329" s="5">
        <v>0</v>
      </c>
      <c r="P329" s="5">
        <v>0</v>
      </c>
      <c r="Q329" s="5" t="s">
        <v>23</v>
      </c>
      <c r="R329" s="5" t="s">
        <v>23</v>
      </c>
      <c r="S329" s="5" t="s">
        <v>23</v>
      </c>
      <c r="T329" s="5" t="s">
        <v>46</v>
      </c>
      <c r="U329" s="5" t="s">
        <v>46</v>
      </c>
      <c r="V329" s="5" t="s">
        <v>46</v>
      </c>
      <c r="W329" s="5">
        <v>0</v>
      </c>
      <c r="X329" s="10" t="s">
        <v>77</v>
      </c>
      <c r="Y329" s="10"/>
      <c r="Z329" s="10"/>
      <c r="AB329" s="2" t="str">
        <f t="shared" si="150"/>
        <v xml:space="preserve">/*9*/{" ","","","","",false,false,false,false,10.0,1,0,0,0.0,0.0,0.0,false,false,false,0},//. </v>
      </c>
      <c r="AD329" s="12" t="str">
        <f t="shared" si="143"/>
        <v/>
      </c>
      <c r="AE329" s="12" t="str">
        <f t="shared" si="144"/>
        <v/>
      </c>
      <c r="AH329" s="12" t="str">
        <f t="shared" si="145"/>
        <v/>
      </c>
      <c r="AI329" s="12" t="str">
        <f t="shared" si="146"/>
        <v/>
      </c>
      <c r="AJ329" s="12" t="str">
        <f t="shared" si="147"/>
        <v/>
      </c>
    </row>
    <row r="330" spans="1:36" x14ac:dyDescent="0.25">
      <c r="A330" s="17">
        <f t="shared" si="148"/>
        <v>10</v>
      </c>
      <c r="B330" s="8" t="s">
        <v>36</v>
      </c>
      <c r="C330" s="4" t="s">
        <v>24</v>
      </c>
      <c r="D330" s="5" t="s">
        <v>0</v>
      </c>
      <c r="E330" s="5"/>
      <c r="F330" s="5" t="s">
        <v>1</v>
      </c>
      <c r="G330" s="5" t="s">
        <v>1</v>
      </c>
      <c r="H330" s="17" t="str">
        <f t="shared" si="142"/>
        <v>""</v>
      </c>
      <c r="I330" s="5" t="s">
        <v>46</v>
      </c>
      <c r="J330" s="5" t="s">
        <v>46</v>
      </c>
      <c r="K330" s="5" t="s">
        <v>46</v>
      </c>
      <c r="L330" s="5" t="s">
        <v>46</v>
      </c>
      <c r="M330" s="5" t="s">
        <v>22</v>
      </c>
      <c r="N330" s="8">
        <f t="shared" si="149"/>
        <v>1</v>
      </c>
      <c r="O330" s="5">
        <v>0</v>
      </c>
      <c r="P330" s="5">
        <v>0</v>
      </c>
      <c r="Q330" s="5" t="s">
        <v>23</v>
      </c>
      <c r="R330" s="5" t="s">
        <v>23</v>
      </c>
      <c r="S330" s="5" t="s">
        <v>23</v>
      </c>
      <c r="T330" s="5" t="s">
        <v>46</v>
      </c>
      <c r="U330" s="5" t="s">
        <v>46</v>
      </c>
      <c r="V330" s="5" t="s">
        <v>46</v>
      </c>
      <c r="W330" s="5">
        <v>0</v>
      </c>
      <c r="X330" s="10" t="s">
        <v>77</v>
      </c>
      <c r="Y330" s="10"/>
      <c r="Z330" s="10"/>
      <c r="AB330" s="2" t="str">
        <f t="shared" si="150"/>
        <v xml:space="preserve">/*10*/{" ","","","","",false,false,false,false,10.0,1,0,0,0.0,0.0,0.0,false,false,false,0},//. </v>
      </c>
      <c r="AD330" s="12" t="str">
        <f t="shared" si="143"/>
        <v/>
      </c>
      <c r="AE330" s="12" t="str">
        <f t="shared" si="144"/>
        <v/>
      </c>
      <c r="AH330" s="12" t="str">
        <f t="shared" si="145"/>
        <v/>
      </c>
      <c r="AI330" s="12" t="str">
        <f t="shared" si="146"/>
        <v/>
      </c>
      <c r="AJ330" s="12" t="str">
        <f t="shared" si="147"/>
        <v/>
      </c>
    </row>
    <row r="331" spans="1:36" x14ac:dyDescent="0.25">
      <c r="A331" s="17">
        <f t="shared" si="148"/>
        <v>11</v>
      </c>
      <c r="B331" s="8" t="s">
        <v>37</v>
      </c>
      <c r="C331" s="4" t="s">
        <v>24</v>
      </c>
      <c r="D331" s="5" t="s">
        <v>0</v>
      </c>
      <c r="E331" s="5"/>
      <c r="F331" s="5" t="s">
        <v>1</v>
      </c>
      <c r="G331" s="5" t="s">
        <v>1</v>
      </c>
      <c r="H331" s="17" t="str">
        <f t="shared" si="142"/>
        <v>""</v>
      </c>
      <c r="I331" s="5" t="s">
        <v>46</v>
      </c>
      <c r="J331" s="5" t="s">
        <v>46</v>
      </c>
      <c r="K331" s="5" t="s">
        <v>46</v>
      </c>
      <c r="L331" s="5" t="s">
        <v>46</v>
      </c>
      <c r="M331" s="5" t="s">
        <v>22</v>
      </c>
      <c r="N331" s="8">
        <f t="shared" si="149"/>
        <v>1</v>
      </c>
      <c r="O331" s="5">
        <v>0</v>
      </c>
      <c r="P331" s="5">
        <v>0</v>
      </c>
      <c r="Q331" s="5" t="s">
        <v>23</v>
      </c>
      <c r="R331" s="5" t="s">
        <v>23</v>
      </c>
      <c r="S331" s="5" t="s">
        <v>23</v>
      </c>
      <c r="T331" s="5" t="s">
        <v>46</v>
      </c>
      <c r="U331" s="5" t="s">
        <v>46</v>
      </c>
      <c r="V331" s="5" t="s">
        <v>46</v>
      </c>
      <c r="W331" s="5">
        <v>0</v>
      </c>
      <c r="X331" s="10" t="s">
        <v>77</v>
      </c>
      <c r="Y331" s="10"/>
      <c r="Z331" s="10"/>
      <c r="AB331" s="2" t="str">
        <f t="shared" si="150"/>
        <v xml:space="preserve">/*11*/{" ","","","","",false,false,false,false,10.0,1,0,0,0.0,0.0,0.0,false,false,false,0},//. </v>
      </c>
      <c r="AD331" s="12" t="str">
        <f t="shared" si="143"/>
        <v/>
      </c>
      <c r="AE331" s="12" t="str">
        <f t="shared" si="144"/>
        <v/>
      </c>
      <c r="AH331" s="12" t="str">
        <f t="shared" si="145"/>
        <v/>
      </c>
      <c r="AI331" s="12" t="str">
        <f t="shared" si="146"/>
        <v/>
      </c>
      <c r="AJ331" s="12" t="str">
        <f t="shared" si="147"/>
        <v/>
      </c>
    </row>
    <row r="332" spans="1:36" x14ac:dyDescent="0.25">
      <c r="A332" s="17">
        <f t="shared" si="148"/>
        <v>12</v>
      </c>
      <c r="B332" s="8" t="s">
        <v>38</v>
      </c>
      <c r="C332" s="4" t="s">
        <v>24</v>
      </c>
      <c r="D332" s="5" t="s">
        <v>0</v>
      </c>
      <c r="E332" s="5"/>
      <c r="F332" s="5" t="s">
        <v>1</v>
      </c>
      <c r="G332" s="5" t="s">
        <v>1</v>
      </c>
      <c r="H332" s="17" t="str">
        <f t="shared" si="142"/>
        <v>""</v>
      </c>
      <c r="I332" s="5" t="s">
        <v>46</v>
      </c>
      <c r="J332" s="5" t="s">
        <v>46</v>
      </c>
      <c r="K332" s="5" t="s">
        <v>46</v>
      </c>
      <c r="L332" s="5" t="s">
        <v>46</v>
      </c>
      <c r="M332" s="5" t="s">
        <v>22</v>
      </c>
      <c r="N332" s="8">
        <f t="shared" si="149"/>
        <v>1</v>
      </c>
      <c r="O332" s="5">
        <v>0</v>
      </c>
      <c r="P332" s="5">
        <v>0</v>
      </c>
      <c r="Q332" s="5" t="s">
        <v>23</v>
      </c>
      <c r="R332" s="5" t="s">
        <v>23</v>
      </c>
      <c r="S332" s="5" t="s">
        <v>23</v>
      </c>
      <c r="T332" s="5" t="s">
        <v>46</v>
      </c>
      <c r="U332" s="5" t="s">
        <v>46</v>
      </c>
      <c r="V332" s="5" t="s">
        <v>46</v>
      </c>
      <c r="W332" s="5">
        <v>0</v>
      </c>
      <c r="X332" s="10" t="s">
        <v>77</v>
      </c>
      <c r="Y332" s="10"/>
      <c r="Z332" s="10"/>
      <c r="AB332" s="2" t="str">
        <f t="shared" si="150"/>
        <v xml:space="preserve">/*12*/{" ","","","","",false,false,false,false,10.0,1,0,0,0.0,0.0,0.0,false,false,false,0},//. </v>
      </c>
      <c r="AD332" s="12" t="str">
        <f t="shared" si="143"/>
        <v/>
      </c>
      <c r="AE332" s="12" t="str">
        <f t="shared" si="144"/>
        <v/>
      </c>
      <c r="AH332" s="12" t="str">
        <f t="shared" si="145"/>
        <v/>
      </c>
      <c r="AI332" s="12" t="str">
        <f t="shared" si="146"/>
        <v/>
      </c>
      <c r="AJ332" s="12" t="str">
        <f t="shared" si="147"/>
        <v/>
      </c>
    </row>
    <row r="333" spans="1:36" x14ac:dyDescent="0.25">
      <c r="A333" s="17">
        <f t="shared" si="148"/>
        <v>13</v>
      </c>
      <c r="B333" s="8" t="s">
        <v>39</v>
      </c>
      <c r="C333" s="4" t="s">
        <v>24</v>
      </c>
      <c r="D333" s="5" t="s">
        <v>0</v>
      </c>
      <c r="E333" s="5"/>
      <c r="F333" s="5" t="s">
        <v>1</v>
      </c>
      <c r="G333" s="5" t="s">
        <v>1</v>
      </c>
      <c r="H333" s="17" t="str">
        <f t="shared" si="142"/>
        <v>""</v>
      </c>
      <c r="I333" s="5" t="s">
        <v>46</v>
      </c>
      <c r="J333" s="5" t="s">
        <v>46</v>
      </c>
      <c r="K333" s="5" t="s">
        <v>46</v>
      </c>
      <c r="L333" s="5" t="s">
        <v>46</v>
      </c>
      <c r="M333" s="5" t="s">
        <v>22</v>
      </c>
      <c r="N333" s="8">
        <f t="shared" si="149"/>
        <v>1</v>
      </c>
      <c r="O333" s="5">
        <v>0</v>
      </c>
      <c r="P333" s="5">
        <v>0</v>
      </c>
      <c r="Q333" s="5" t="s">
        <v>23</v>
      </c>
      <c r="R333" s="5" t="s">
        <v>23</v>
      </c>
      <c r="S333" s="5" t="s">
        <v>23</v>
      </c>
      <c r="T333" s="5" t="s">
        <v>46</v>
      </c>
      <c r="U333" s="5" t="s">
        <v>46</v>
      </c>
      <c r="V333" s="5" t="s">
        <v>46</v>
      </c>
      <c r="W333" s="5">
        <v>0</v>
      </c>
      <c r="X333" s="10" t="s">
        <v>77</v>
      </c>
      <c r="Y333" s="10"/>
      <c r="Z333" s="10"/>
      <c r="AB333" s="2" t="str">
        <f t="shared" si="150"/>
        <v xml:space="preserve">/*13*/{" ","","","","",false,false,false,false,10.0,1,0,0,0.0,0.0,0.0,false,false,false,0},//. </v>
      </c>
      <c r="AD333" s="12" t="str">
        <f t="shared" si="143"/>
        <v/>
      </c>
      <c r="AE333" s="12" t="str">
        <f t="shared" si="144"/>
        <v/>
      </c>
      <c r="AH333" s="12" t="str">
        <f t="shared" si="145"/>
        <v/>
      </c>
      <c r="AI333" s="12" t="str">
        <f t="shared" si="146"/>
        <v/>
      </c>
      <c r="AJ333" s="12" t="str">
        <f t="shared" si="147"/>
        <v/>
      </c>
    </row>
    <row r="334" spans="1:36" x14ac:dyDescent="0.25">
      <c r="A334" s="17">
        <f t="shared" si="148"/>
        <v>14</v>
      </c>
      <c r="B334" s="8" t="s">
        <v>40</v>
      </c>
      <c r="C334" s="4" t="s">
        <v>24</v>
      </c>
      <c r="D334" s="5" t="s">
        <v>0</v>
      </c>
      <c r="E334" s="5"/>
      <c r="F334" s="5" t="s">
        <v>1</v>
      </c>
      <c r="G334" s="5" t="s">
        <v>1</v>
      </c>
      <c r="H334" s="17" t="str">
        <f t="shared" si="142"/>
        <v>""</v>
      </c>
      <c r="I334" s="5" t="s">
        <v>46</v>
      </c>
      <c r="J334" s="5" t="s">
        <v>46</v>
      </c>
      <c r="K334" s="5" t="s">
        <v>46</v>
      </c>
      <c r="L334" s="5" t="s">
        <v>46</v>
      </c>
      <c r="M334" s="5" t="s">
        <v>22</v>
      </c>
      <c r="N334" s="8">
        <f t="shared" si="149"/>
        <v>1</v>
      </c>
      <c r="O334" s="5">
        <v>0</v>
      </c>
      <c r="P334" s="5">
        <v>0</v>
      </c>
      <c r="Q334" s="5" t="s">
        <v>23</v>
      </c>
      <c r="R334" s="5" t="s">
        <v>23</v>
      </c>
      <c r="S334" s="5" t="s">
        <v>23</v>
      </c>
      <c r="T334" s="5" t="s">
        <v>46</v>
      </c>
      <c r="U334" s="5" t="s">
        <v>46</v>
      </c>
      <c r="V334" s="5" t="s">
        <v>46</v>
      </c>
      <c r="W334" s="5">
        <v>0</v>
      </c>
      <c r="X334" s="10" t="s">
        <v>77</v>
      </c>
      <c r="Y334" s="10"/>
      <c r="Z334" s="10"/>
      <c r="AB334" s="2" t="str">
        <f t="shared" si="150"/>
        <v xml:space="preserve">/*14*/{" ","","","","",false,false,false,false,10.0,1,0,0,0.0,0.0,0.0,false,false,false,0},//. </v>
      </c>
      <c r="AD334" s="12" t="str">
        <f t="shared" si="143"/>
        <v/>
      </c>
      <c r="AE334" s="12" t="str">
        <f t="shared" si="144"/>
        <v/>
      </c>
      <c r="AH334" s="12" t="str">
        <f t="shared" si="145"/>
        <v/>
      </c>
      <c r="AI334" s="12" t="str">
        <f t="shared" si="146"/>
        <v/>
      </c>
      <c r="AJ334" s="12" t="str">
        <f t="shared" si="147"/>
        <v/>
      </c>
    </row>
    <row r="335" spans="1:36" x14ac:dyDescent="0.25">
      <c r="A335" s="17">
        <f t="shared" si="148"/>
        <v>15</v>
      </c>
      <c r="B335" s="8" t="s">
        <v>41</v>
      </c>
      <c r="C335" s="4" t="s">
        <v>24</v>
      </c>
      <c r="D335" s="5" t="s">
        <v>0</v>
      </c>
      <c r="E335" s="5"/>
      <c r="F335" s="5" t="s">
        <v>1</v>
      </c>
      <c r="G335" s="5" t="s">
        <v>1</v>
      </c>
      <c r="H335" s="17" t="str">
        <f t="shared" si="142"/>
        <v>""</v>
      </c>
      <c r="I335" s="5" t="s">
        <v>46</v>
      </c>
      <c r="J335" s="5" t="s">
        <v>46</v>
      </c>
      <c r="K335" s="5" t="s">
        <v>46</v>
      </c>
      <c r="L335" s="5" t="s">
        <v>46</v>
      </c>
      <c r="M335" s="5" t="s">
        <v>22</v>
      </c>
      <c r="N335" s="8">
        <f t="shared" si="149"/>
        <v>1</v>
      </c>
      <c r="O335" s="5">
        <v>0</v>
      </c>
      <c r="P335" s="5">
        <v>0</v>
      </c>
      <c r="Q335" s="5" t="s">
        <v>23</v>
      </c>
      <c r="R335" s="5" t="s">
        <v>23</v>
      </c>
      <c r="S335" s="5" t="s">
        <v>23</v>
      </c>
      <c r="T335" s="5" t="s">
        <v>46</v>
      </c>
      <c r="U335" s="5" t="s">
        <v>46</v>
      </c>
      <c r="V335" s="5" t="s">
        <v>46</v>
      </c>
      <c r="W335" s="5">
        <v>0</v>
      </c>
      <c r="X335" s="10" t="s">
        <v>77</v>
      </c>
      <c r="Y335" s="10"/>
      <c r="Z335" s="10"/>
      <c r="AB335" s="2" t="str">
        <f t="shared" si="150"/>
        <v xml:space="preserve">/*15*/{" ","","","","",false,false,false,false,10.0,1,0,0,0.0,0.0,0.0,false,false,false,0},//. </v>
      </c>
      <c r="AD335" s="12" t="str">
        <f t="shared" si="143"/>
        <v/>
      </c>
      <c r="AE335" s="12" t="str">
        <f t="shared" si="144"/>
        <v/>
      </c>
      <c r="AH335" s="12" t="str">
        <f t="shared" si="145"/>
        <v/>
      </c>
      <c r="AI335" s="12" t="str">
        <f t="shared" si="146"/>
        <v/>
      </c>
      <c r="AJ335" s="12" t="str">
        <f t="shared" si="147"/>
        <v/>
      </c>
    </row>
    <row r="336" spans="1:36" x14ac:dyDescent="0.25">
      <c r="A336" s="17">
        <f t="shared" si="148"/>
        <v>16</v>
      </c>
      <c r="B336" s="8" t="s">
        <v>42</v>
      </c>
      <c r="C336" s="4" t="s">
        <v>24</v>
      </c>
      <c r="D336" s="5" t="s">
        <v>0</v>
      </c>
      <c r="E336" s="5"/>
      <c r="F336" s="5" t="s">
        <v>1</v>
      </c>
      <c r="G336" s="5" t="s">
        <v>1</v>
      </c>
      <c r="H336" s="17" t="str">
        <f t="shared" si="142"/>
        <v>""</v>
      </c>
      <c r="I336" s="5" t="s">
        <v>46</v>
      </c>
      <c r="J336" s="5" t="s">
        <v>46</v>
      </c>
      <c r="K336" s="5" t="s">
        <v>46</v>
      </c>
      <c r="L336" s="5" t="s">
        <v>46</v>
      </c>
      <c r="M336" s="5" t="s">
        <v>22</v>
      </c>
      <c r="N336" s="8">
        <f t="shared" si="149"/>
        <v>1</v>
      </c>
      <c r="O336" s="5">
        <v>0</v>
      </c>
      <c r="P336" s="5">
        <v>0</v>
      </c>
      <c r="Q336" s="5" t="s">
        <v>23</v>
      </c>
      <c r="R336" s="5" t="s">
        <v>23</v>
      </c>
      <c r="S336" s="5" t="s">
        <v>23</v>
      </c>
      <c r="T336" s="5" t="s">
        <v>46</v>
      </c>
      <c r="U336" s="5" t="s">
        <v>46</v>
      </c>
      <c r="V336" s="5" t="s">
        <v>46</v>
      </c>
      <c r="W336" s="5">
        <v>0</v>
      </c>
      <c r="X336" s="10" t="s">
        <v>77</v>
      </c>
      <c r="Y336" s="10"/>
      <c r="Z336" s="10"/>
      <c r="AB336" s="2" t="str">
        <f t="shared" si="150"/>
        <v xml:space="preserve">/*16*/{" ","","","","",false,false,false,false,10.0,1,0,0,0.0,0.0,0.0,false,false,false,0},//. </v>
      </c>
      <c r="AD336" s="12" t="str">
        <f t="shared" si="143"/>
        <v/>
      </c>
      <c r="AE336" s="12" t="str">
        <f t="shared" si="144"/>
        <v/>
      </c>
      <c r="AH336" s="12" t="str">
        <f t="shared" si="145"/>
        <v/>
      </c>
      <c r="AI336" s="12" t="str">
        <f t="shared" si="146"/>
        <v/>
      </c>
      <c r="AJ336" s="12" t="str">
        <f t="shared" si="147"/>
        <v/>
      </c>
    </row>
    <row r="337" spans="1:36" x14ac:dyDescent="0.25">
      <c r="A337" s="17">
        <f t="shared" si="148"/>
        <v>17</v>
      </c>
      <c r="B337" s="8" t="s">
        <v>43</v>
      </c>
      <c r="C337" s="4" t="s">
        <v>24</v>
      </c>
      <c r="D337" s="5" t="s">
        <v>0</v>
      </c>
      <c r="E337" s="5"/>
      <c r="F337" s="5" t="s">
        <v>1</v>
      </c>
      <c r="G337" s="5" t="s">
        <v>1</v>
      </c>
      <c r="H337" s="17" t="str">
        <f t="shared" si="142"/>
        <v>""</v>
      </c>
      <c r="I337" s="5" t="s">
        <v>46</v>
      </c>
      <c r="J337" s="5" t="s">
        <v>46</v>
      </c>
      <c r="K337" s="5" t="s">
        <v>46</v>
      </c>
      <c r="L337" s="5" t="s">
        <v>46</v>
      </c>
      <c r="M337" s="5" t="s">
        <v>22</v>
      </c>
      <c r="N337" s="8">
        <f t="shared" si="149"/>
        <v>1</v>
      </c>
      <c r="O337" s="5">
        <v>0</v>
      </c>
      <c r="P337" s="5">
        <v>0</v>
      </c>
      <c r="Q337" s="5" t="s">
        <v>23</v>
      </c>
      <c r="R337" s="5" t="s">
        <v>23</v>
      </c>
      <c r="S337" s="5" t="s">
        <v>23</v>
      </c>
      <c r="T337" s="5" t="s">
        <v>46</v>
      </c>
      <c r="U337" s="5" t="s">
        <v>46</v>
      </c>
      <c r="V337" s="5" t="s">
        <v>46</v>
      </c>
      <c r="W337" s="5">
        <v>0</v>
      </c>
      <c r="X337" s="10" t="s">
        <v>77</v>
      </c>
      <c r="Y337" s="10"/>
      <c r="Z337" s="10"/>
      <c r="AB337" s="2" t="str">
        <f t="shared" si="150"/>
        <v xml:space="preserve">/*17*/{" ","","","","",false,false,false,false,10.0,1,0,0,0.0,0.0,0.0,false,false,false,0},//. </v>
      </c>
      <c r="AD337" s="12" t="str">
        <f t="shared" si="143"/>
        <v/>
      </c>
      <c r="AE337" s="12" t="str">
        <f t="shared" si="144"/>
        <v/>
      </c>
      <c r="AH337" s="12" t="str">
        <f t="shared" si="145"/>
        <v/>
      </c>
      <c r="AI337" s="12" t="str">
        <f t="shared" si="146"/>
        <v/>
      </c>
      <c r="AJ337" s="12" t="str">
        <f t="shared" si="147"/>
        <v/>
      </c>
    </row>
    <row r="338" spans="1:36" x14ac:dyDescent="0.25">
      <c r="A338" s="17">
        <f t="shared" si="148"/>
        <v>18</v>
      </c>
      <c r="B338" s="8" t="s">
        <v>44</v>
      </c>
      <c r="C338" s="4" t="s">
        <v>24</v>
      </c>
      <c r="D338" s="5" t="s">
        <v>0</v>
      </c>
      <c r="E338" s="5"/>
      <c r="F338" s="5" t="s">
        <v>1</v>
      </c>
      <c r="G338" s="5" t="s">
        <v>1</v>
      </c>
      <c r="H338" s="17" t="str">
        <f t="shared" si="142"/>
        <v>""</v>
      </c>
      <c r="I338" s="5" t="s">
        <v>46</v>
      </c>
      <c r="J338" s="5" t="s">
        <v>46</v>
      </c>
      <c r="K338" s="5" t="s">
        <v>46</v>
      </c>
      <c r="L338" s="5" t="s">
        <v>46</v>
      </c>
      <c r="M338" s="5" t="s">
        <v>22</v>
      </c>
      <c r="N338" s="8">
        <f t="shared" si="149"/>
        <v>1</v>
      </c>
      <c r="O338" s="5">
        <v>0</v>
      </c>
      <c r="P338" s="5">
        <v>0</v>
      </c>
      <c r="Q338" s="5" t="s">
        <v>23</v>
      </c>
      <c r="R338" s="5" t="s">
        <v>23</v>
      </c>
      <c r="S338" s="5" t="s">
        <v>23</v>
      </c>
      <c r="T338" s="5" t="s">
        <v>46</v>
      </c>
      <c r="U338" s="5" t="s">
        <v>46</v>
      </c>
      <c r="V338" s="5" t="s">
        <v>46</v>
      </c>
      <c r="W338" s="5">
        <v>0</v>
      </c>
      <c r="X338" s="10" t="s">
        <v>77</v>
      </c>
      <c r="Y338" s="10"/>
      <c r="Z338" s="10"/>
      <c r="AB338" s="2" t="str">
        <f t="shared" si="150"/>
        <v xml:space="preserve">/*18*/{" ","","","","",false,false,false,false,10.0,1,0,0,0.0,0.0,0.0,false,false,false,0},//. </v>
      </c>
      <c r="AD338" s="12" t="str">
        <f t="shared" si="143"/>
        <v/>
      </c>
      <c r="AE338" s="12" t="str">
        <f t="shared" si="144"/>
        <v/>
      </c>
      <c r="AH338" s="12" t="str">
        <f t="shared" si="145"/>
        <v/>
      </c>
      <c r="AI338" s="12" t="str">
        <f t="shared" si="146"/>
        <v/>
      </c>
      <c r="AJ338" s="12" t="str">
        <f t="shared" si="147"/>
        <v/>
      </c>
    </row>
    <row r="339" spans="1:36" x14ac:dyDescent="0.25">
      <c r="A339" s="17">
        <f t="shared" si="148"/>
        <v>19</v>
      </c>
      <c r="B339" s="8" t="s">
        <v>45</v>
      </c>
      <c r="C339" s="4" t="s">
        <v>24</v>
      </c>
      <c r="D339" s="5" t="s">
        <v>0</v>
      </c>
      <c r="E339" s="5"/>
      <c r="F339" s="5" t="s">
        <v>1</v>
      </c>
      <c r="G339" s="5" t="s">
        <v>1</v>
      </c>
      <c r="H339" s="17" t="str">
        <f t="shared" si="142"/>
        <v>""</v>
      </c>
      <c r="I339" s="5" t="s">
        <v>46</v>
      </c>
      <c r="J339" s="5" t="s">
        <v>46</v>
      </c>
      <c r="K339" s="5" t="s">
        <v>46</v>
      </c>
      <c r="L339" s="5" t="s">
        <v>46</v>
      </c>
      <c r="M339" s="5" t="s">
        <v>22</v>
      </c>
      <c r="N339" s="8">
        <f t="shared" si="149"/>
        <v>1</v>
      </c>
      <c r="O339" s="5">
        <v>0</v>
      </c>
      <c r="P339" s="5">
        <v>0</v>
      </c>
      <c r="Q339" s="5" t="s">
        <v>23</v>
      </c>
      <c r="R339" s="5" t="s">
        <v>23</v>
      </c>
      <c r="S339" s="5" t="s">
        <v>23</v>
      </c>
      <c r="T339" s="5" t="s">
        <v>46</v>
      </c>
      <c r="U339" s="5" t="s">
        <v>46</v>
      </c>
      <c r="V339" s="5" t="s">
        <v>46</v>
      </c>
      <c r="W339" s="5">
        <v>0</v>
      </c>
      <c r="X339" s="10" t="s">
        <v>77</v>
      </c>
      <c r="Y339" s="10"/>
      <c r="Z339" s="10"/>
      <c r="AB339" s="2" t="str">
        <f t="shared" si="150"/>
        <v xml:space="preserve">/*19*/{" ","","","","",false,false,false,false,10.0,1,0,0,0.0,0.0,0.0,false,false,false,0},//. </v>
      </c>
      <c r="AD339" s="12" t="str">
        <f>IF(X339="Да",CONCATENATE("float &amp;",SUBSTITUTE(Z339," ","")," = Screens[",$A$320,"][",A339,"].Param;// Ссылка. ",$Y$32,". ",Y339),"")</f>
        <v/>
      </c>
      <c r="AE339" s="12" t="str">
        <f>IF(X339="Да",CONCATENATE("float ",SUBSTITUTE(Z339," ","")," = Screens[",$A$320,"][",A339,"].Param;//",$Y$32,". ",Y339),"")</f>
        <v/>
      </c>
      <c r="AH339" s="12" t="str">
        <f>IF(X339="Да",CONCATENATE("Ref.",,SUBSTITUTE(Z339," ","")," = ",$AI$1,$B$320,SUBSTITUTE(E339," ",""),";//",$Y$32,". ",Y339),"")</f>
        <v/>
      </c>
      <c r="AI339" s="12" t="str">
        <f t="shared" si="146"/>
        <v/>
      </c>
      <c r="AJ339" s="12" t="str">
        <f t="shared" ref="AJ339" si="151">IF(X339="Да",CONCATENATE($AI$1,SUBSTITUTE(Z339," ","")," = ",M339,";//",$Y$32,". ",Y339),"")</f>
        <v/>
      </c>
    </row>
    <row r="340" spans="1:36" x14ac:dyDescent="0.25">
      <c r="AB340" s="3" t="s">
        <v>25</v>
      </c>
    </row>
    <row r="341" spans="1:36" x14ac:dyDescent="0.25">
      <c r="A341" s="14">
        <f>A317+1</f>
        <v>14</v>
      </c>
      <c r="D341" s="7" t="s">
        <v>68</v>
      </c>
      <c r="AB341" s="3" t="s">
        <v>51</v>
      </c>
    </row>
    <row r="342" spans="1:36" ht="45" x14ac:dyDescent="0.25">
      <c r="A342" s="15" t="s">
        <v>78</v>
      </c>
      <c r="B342" s="18"/>
      <c r="C342" s="6" t="s">
        <v>25</v>
      </c>
      <c r="D342" s="6" t="s">
        <v>17</v>
      </c>
      <c r="E342" s="6" t="s">
        <v>18</v>
      </c>
      <c r="F342" s="6" t="s">
        <v>19</v>
      </c>
      <c r="G342" s="6" t="s">
        <v>20</v>
      </c>
      <c r="H342" s="6" t="s">
        <v>21</v>
      </c>
      <c r="I342" s="6" t="s">
        <v>2</v>
      </c>
      <c r="J342" s="6" t="s">
        <v>3</v>
      </c>
      <c r="K342" s="6" t="s">
        <v>4</v>
      </c>
      <c r="L342" s="6" t="s">
        <v>5</v>
      </c>
      <c r="M342" s="6" t="s">
        <v>6</v>
      </c>
      <c r="N342" s="6" t="s">
        <v>7</v>
      </c>
      <c r="O342" s="6" t="s">
        <v>8</v>
      </c>
      <c r="P342" s="6" t="s">
        <v>9</v>
      </c>
      <c r="Q342" s="6" t="s">
        <v>10</v>
      </c>
      <c r="R342" s="6" t="s">
        <v>11</v>
      </c>
      <c r="S342" s="6" t="s">
        <v>12</v>
      </c>
      <c r="T342" s="6" t="s">
        <v>13</v>
      </c>
      <c r="U342" s="6" t="s">
        <v>14</v>
      </c>
      <c r="V342" s="6" t="s">
        <v>15</v>
      </c>
      <c r="W342" s="6" t="s">
        <v>16</v>
      </c>
      <c r="X342" s="6" t="s">
        <v>76</v>
      </c>
      <c r="Y342" s="6" t="s">
        <v>80</v>
      </c>
      <c r="Z342" s="6" t="s">
        <v>97</v>
      </c>
      <c r="AA342" s="1"/>
      <c r="AB342" s="2" t="str">
        <f>CONCATENATE(D341," - ",E344)</f>
        <v xml:space="preserve">//Экран 14 - </v>
      </c>
    </row>
    <row r="343" spans="1:36" x14ac:dyDescent="0.25">
      <c r="A343" s="16"/>
      <c r="B343" s="13"/>
      <c r="C343" s="4" t="s">
        <v>24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11"/>
      <c r="Y343" s="11"/>
      <c r="Z343" s="11"/>
      <c r="AA343" s="1"/>
      <c r="AB343" s="3" t="str">
        <f>C343</f>
        <v>{</v>
      </c>
    </row>
    <row r="344" spans="1:36" x14ac:dyDescent="0.25">
      <c r="A344" s="17">
        <v>0</v>
      </c>
      <c r="B344" s="8" t="s">
        <v>27</v>
      </c>
      <c r="C344" s="4" t="s">
        <v>24</v>
      </c>
      <c r="D344" s="5" t="s">
        <v>0</v>
      </c>
      <c r="E344" s="5"/>
      <c r="F344" s="5" t="s">
        <v>1</v>
      </c>
      <c r="G344" s="5" t="s">
        <v>1</v>
      </c>
      <c r="H344" s="17" t="str">
        <f t="shared" ref="H344:H363" si="152">IF(AND(I344="true",J344="false"),""" ""","""""")</f>
        <v>""</v>
      </c>
      <c r="I344" s="5" t="s">
        <v>46</v>
      </c>
      <c r="J344" s="5" t="s">
        <v>46</v>
      </c>
      <c r="K344" s="5" t="s">
        <v>46</v>
      </c>
      <c r="L344" s="5" t="s">
        <v>47</v>
      </c>
      <c r="M344" s="5" t="s">
        <v>22</v>
      </c>
      <c r="N344" s="8">
        <v>1</v>
      </c>
      <c r="O344" s="5">
        <v>0</v>
      </c>
      <c r="P344" s="5">
        <v>0</v>
      </c>
      <c r="Q344" s="5" t="s">
        <v>48</v>
      </c>
      <c r="R344" s="5" t="s">
        <v>23</v>
      </c>
      <c r="S344" s="5" t="s">
        <v>49</v>
      </c>
      <c r="T344" s="5" t="s">
        <v>46</v>
      </c>
      <c r="U344" s="5" t="s">
        <v>46</v>
      </c>
      <c r="V344" s="5" t="s">
        <v>46</v>
      </c>
      <c r="W344" s="5">
        <v>0</v>
      </c>
      <c r="X344" s="10" t="s">
        <v>77</v>
      </c>
      <c r="Y344" s="10"/>
      <c r="Z344" s="10"/>
      <c r="AB344" s="2" t="str">
        <f>CONCATENATE(B344,C344,D344,",""",E344,""",",F344,",",G344,",",H344,",",I344,",",J344,",",K344,",",L344,",",M344,",",N344,",",O344,",",P344,",",Q344,",",R344,",",S344,",",T344,",",U344,",",V344,",",W344,"},//",Y344)</f>
        <v>/*0*/{" ","","","","",false,false,false,true,10.0,1,0,0,100.0,0.0,0.1,false,false,false,0},//</v>
      </c>
      <c r="AD344" s="12" t="str">
        <f t="shared" ref="AD344:AD362" si="153">IF(X344="Да",IF(T344="false",CONCATENATE("float &amp;",SUBSTITUTE(Z344," ","")," = Screens[",$A$341,"][",A344,"].Param;// Ссылка. ",$Y$32,". ",Y344),CONCATENATE("bool &amp;",SUBSTITUTE(Z344," ","")," = Screens[",$A$341,"][",A344,"].BoolParam;// Ссылка. ",$Y$32,". ",Y344)),"")</f>
        <v/>
      </c>
      <c r="AE344" s="12" t="str">
        <f t="shared" ref="AE344:AE362" si="154">IF(X344="Да",IF(T344="false",CONCATENATE("float ",SUBSTITUTE(Z344," ","")," = Screens[",$A$341,"][",A344,"].Param;//",$Y$32,". ",Y344),CONCATENATE("bool ",SUBSTITUTE(Z344," ","")," = Screens[",$A$341,"][",A344,"].BoolParam;//",$Y$32,". ",Y344)),"")</f>
        <v/>
      </c>
      <c r="AH344" s="12" t="str">
        <f t="shared" ref="AH344:AH362" si="155">IF(X344="Да",CONCATENATE("Ref.",,SUBSTITUTE(Z344," ","")," = ",$AI$1,SUBSTITUTE(Z344," ",""),";//",$Y$32,". ",Y344),"")</f>
        <v/>
      </c>
      <c r="AI344" s="12" t="str">
        <f t="shared" ref="AI344:AI363" si="156">IF(X344="Да",CONCATENATE($AI$1,SUBSTITUTE(Z344," ","")," = Ref.",SUBSTITUTE(Z344," ",""),";//",$Y$32,". ",Y344),"")</f>
        <v/>
      </c>
      <c r="AJ344" s="12" t="str">
        <f t="shared" ref="AJ344:AJ362" si="157">IF(X344="Да",IF(T344="false",CONCATENATE($AI$1,SUBSTITUTE(Z344," ","")," = ",M344,";//",$Y$32,". ",Y344),CONCATENATE($AI$1,SUBSTITUTE(Z344," ","")," = ",U344,";//",$Y$32,". ",Y344)),"")</f>
        <v/>
      </c>
    </row>
    <row r="345" spans="1:36" x14ac:dyDescent="0.25">
      <c r="A345" s="17">
        <f>A344+1</f>
        <v>1</v>
      </c>
      <c r="B345" s="8" t="s">
        <v>26</v>
      </c>
      <c r="C345" s="4" t="s">
        <v>24</v>
      </c>
      <c r="D345" s="5" t="s">
        <v>0</v>
      </c>
      <c r="E345" s="5"/>
      <c r="F345" s="5" t="s">
        <v>1</v>
      </c>
      <c r="G345" s="5" t="s">
        <v>1</v>
      </c>
      <c r="H345" s="17" t="str">
        <f t="shared" si="152"/>
        <v>""</v>
      </c>
      <c r="I345" s="5" t="s">
        <v>46</v>
      </c>
      <c r="J345" s="5" t="s">
        <v>46</v>
      </c>
      <c r="K345" s="5" t="s">
        <v>46</v>
      </c>
      <c r="L345" s="5" t="s">
        <v>46</v>
      </c>
      <c r="M345" s="5" t="s">
        <v>22</v>
      </c>
      <c r="N345" s="8">
        <f>N344</f>
        <v>1</v>
      </c>
      <c r="O345" s="5">
        <v>0</v>
      </c>
      <c r="P345" s="5">
        <v>0</v>
      </c>
      <c r="Q345" s="5" t="s">
        <v>23</v>
      </c>
      <c r="R345" s="5" t="s">
        <v>23</v>
      </c>
      <c r="S345" s="5" t="s">
        <v>23</v>
      </c>
      <c r="T345" s="5" t="s">
        <v>46</v>
      </c>
      <c r="U345" s="5" t="s">
        <v>46</v>
      </c>
      <c r="V345" s="5" t="s">
        <v>46</v>
      </c>
      <c r="W345" s="5">
        <v>0</v>
      </c>
      <c r="X345" s="10" t="s">
        <v>77</v>
      </c>
      <c r="Y345" s="10"/>
      <c r="Z345" s="10"/>
      <c r="AB345" s="2" t="str">
        <f>CONCATENATE(B345,C345,D345,",""",E345,""",",F345,",",G345,",",H345,",",I345,",",J345,",",K345,",",L345,",",M345,",",N345,",",O345,",",P345,",",Q345,",",R345,",",S345,",",T345,",",U345,",",V345,",",W345,"},//",Y$344,". ",Y345)</f>
        <v xml:space="preserve">/*1*/{" ","","","","",false,false,false,false,10.0,1,0,0,0.0,0.0,0.0,false,false,false,0},//. </v>
      </c>
      <c r="AD345" s="12" t="str">
        <f t="shared" si="153"/>
        <v/>
      </c>
      <c r="AE345" s="12" t="str">
        <f t="shared" si="154"/>
        <v/>
      </c>
      <c r="AH345" s="12" t="str">
        <f t="shared" si="155"/>
        <v/>
      </c>
      <c r="AI345" s="12" t="str">
        <f t="shared" si="156"/>
        <v/>
      </c>
      <c r="AJ345" s="12" t="str">
        <f t="shared" si="157"/>
        <v/>
      </c>
    </row>
    <row r="346" spans="1:36" x14ac:dyDescent="0.25">
      <c r="A346" s="17">
        <f t="shared" ref="A346:A363" si="158">A345+1</f>
        <v>2</v>
      </c>
      <c r="B346" s="8" t="s">
        <v>28</v>
      </c>
      <c r="C346" s="4" t="s">
        <v>24</v>
      </c>
      <c r="D346" s="5" t="s">
        <v>0</v>
      </c>
      <c r="E346" s="5"/>
      <c r="F346" s="5" t="s">
        <v>1</v>
      </c>
      <c r="G346" s="5" t="s">
        <v>1</v>
      </c>
      <c r="H346" s="17" t="str">
        <f t="shared" si="152"/>
        <v>""</v>
      </c>
      <c r="I346" s="5" t="s">
        <v>46</v>
      </c>
      <c r="J346" s="5" t="s">
        <v>46</v>
      </c>
      <c r="K346" s="5" t="s">
        <v>46</v>
      </c>
      <c r="L346" s="5" t="s">
        <v>46</v>
      </c>
      <c r="M346" s="5" t="s">
        <v>22</v>
      </c>
      <c r="N346" s="8">
        <f t="shared" ref="N346:N363" si="159">N345</f>
        <v>1</v>
      </c>
      <c r="O346" s="5">
        <v>0</v>
      </c>
      <c r="P346" s="5">
        <v>0</v>
      </c>
      <c r="Q346" s="5" t="s">
        <v>23</v>
      </c>
      <c r="R346" s="5" t="s">
        <v>23</v>
      </c>
      <c r="S346" s="5" t="s">
        <v>23</v>
      </c>
      <c r="T346" s="5" t="s">
        <v>46</v>
      </c>
      <c r="U346" s="5" t="s">
        <v>46</v>
      </c>
      <c r="V346" s="5" t="s">
        <v>46</v>
      </c>
      <c r="W346" s="5">
        <v>0</v>
      </c>
      <c r="X346" s="10" t="s">
        <v>77</v>
      </c>
      <c r="Y346" s="10"/>
      <c r="Z346" s="10"/>
      <c r="AB346" s="2" t="str">
        <f t="shared" ref="AB346:AB363" si="160">CONCATENATE(B346,C346,D346,",""",E346,""",",F346,",",G346,",",H346,",",I346,",",J346,",",K346,",",L346,",",M346,",",N346,",",O346,",",P346,",",Q346,",",R346,",",S346,",",T346,",",U346,",",V346,",",W346,"},//",Y$344,". ",Y346)</f>
        <v xml:space="preserve">/*2*/{" ","","","","",false,false,false,false,10.0,1,0,0,0.0,0.0,0.0,false,false,false,0},//. </v>
      </c>
      <c r="AD346" s="12" t="str">
        <f t="shared" si="153"/>
        <v/>
      </c>
      <c r="AE346" s="12" t="str">
        <f t="shared" si="154"/>
        <v/>
      </c>
      <c r="AH346" s="12" t="str">
        <f t="shared" si="155"/>
        <v/>
      </c>
      <c r="AI346" s="12" t="str">
        <f t="shared" si="156"/>
        <v/>
      </c>
      <c r="AJ346" s="12" t="str">
        <f t="shared" si="157"/>
        <v/>
      </c>
    </row>
    <row r="347" spans="1:36" x14ac:dyDescent="0.25">
      <c r="A347" s="17">
        <f t="shared" si="158"/>
        <v>3</v>
      </c>
      <c r="B347" s="8" t="s">
        <v>29</v>
      </c>
      <c r="C347" s="4" t="s">
        <v>24</v>
      </c>
      <c r="D347" s="5" t="s">
        <v>0</v>
      </c>
      <c r="E347" s="5"/>
      <c r="F347" s="5" t="s">
        <v>1</v>
      </c>
      <c r="G347" s="5" t="s">
        <v>1</v>
      </c>
      <c r="H347" s="17" t="str">
        <f t="shared" si="152"/>
        <v>""</v>
      </c>
      <c r="I347" s="5" t="s">
        <v>46</v>
      </c>
      <c r="J347" s="5" t="s">
        <v>46</v>
      </c>
      <c r="K347" s="5" t="s">
        <v>46</v>
      </c>
      <c r="L347" s="5" t="s">
        <v>46</v>
      </c>
      <c r="M347" s="5" t="s">
        <v>22</v>
      </c>
      <c r="N347" s="8">
        <f t="shared" si="159"/>
        <v>1</v>
      </c>
      <c r="O347" s="5">
        <v>2</v>
      </c>
      <c r="P347" s="5">
        <v>0</v>
      </c>
      <c r="Q347" s="5" t="s">
        <v>23</v>
      </c>
      <c r="R347" s="5" t="s">
        <v>23</v>
      </c>
      <c r="S347" s="5" t="s">
        <v>23</v>
      </c>
      <c r="T347" s="5" t="s">
        <v>46</v>
      </c>
      <c r="U347" s="5" t="s">
        <v>46</v>
      </c>
      <c r="V347" s="5" t="s">
        <v>46</v>
      </c>
      <c r="W347" s="5">
        <v>0</v>
      </c>
      <c r="X347" s="10" t="s">
        <v>77</v>
      </c>
      <c r="Y347" s="10"/>
      <c r="Z347" s="10"/>
      <c r="AB347" s="2" t="str">
        <f t="shared" si="160"/>
        <v xml:space="preserve">/*3*/{" ","","","","",false,false,false,false,10.0,1,2,0,0.0,0.0,0.0,false,false,false,0},//. </v>
      </c>
      <c r="AD347" s="12" t="str">
        <f t="shared" si="153"/>
        <v/>
      </c>
      <c r="AE347" s="12" t="str">
        <f t="shared" si="154"/>
        <v/>
      </c>
      <c r="AH347" s="12" t="str">
        <f t="shared" si="155"/>
        <v/>
      </c>
      <c r="AI347" s="12" t="str">
        <f t="shared" si="156"/>
        <v/>
      </c>
      <c r="AJ347" s="12" t="str">
        <f t="shared" si="157"/>
        <v/>
      </c>
    </row>
    <row r="348" spans="1:36" x14ac:dyDescent="0.25">
      <c r="A348" s="17">
        <f t="shared" si="158"/>
        <v>4</v>
      </c>
      <c r="B348" s="8" t="s">
        <v>30</v>
      </c>
      <c r="C348" s="4" t="s">
        <v>24</v>
      </c>
      <c r="D348" s="5" t="s">
        <v>0</v>
      </c>
      <c r="E348" s="5"/>
      <c r="F348" s="5" t="s">
        <v>1</v>
      </c>
      <c r="G348" s="5" t="s">
        <v>1</v>
      </c>
      <c r="H348" s="17" t="str">
        <f t="shared" si="152"/>
        <v>""</v>
      </c>
      <c r="I348" s="5" t="s">
        <v>46</v>
      </c>
      <c r="J348" s="5" t="s">
        <v>46</v>
      </c>
      <c r="K348" s="5" t="s">
        <v>46</v>
      </c>
      <c r="L348" s="5" t="s">
        <v>46</v>
      </c>
      <c r="M348" s="5" t="s">
        <v>22</v>
      </c>
      <c r="N348" s="8">
        <f t="shared" si="159"/>
        <v>1</v>
      </c>
      <c r="O348" s="5">
        <v>0</v>
      </c>
      <c r="P348" s="5">
        <v>0</v>
      </c>
      <c r="Q348" s="5" t="s">
        <v>23</v>
      </c>
      <c r="R348" s="5" t="s">
        <v>23</v>
      </c>
      <c r="S348" s="5" t="s">
        <v>23</v>
      </c>
      <c r="T348" s="5" t="s">
        <v>46</v>
      </c>
      <c r="U348" s="5" t="s">
        <v>46</v>
      </c>
      <c r="V348" s="5" t="s">
        <v>46</v>
      </c>
      <c r="W348" s="5">
        <v>0</v>
      </c>
      <c r="X348" s="10" t="s">
        <v>77</v>
      </c>
      <c r="Y348" s="10"/>
      <c r="Z348" s="10"/>
      <c r="AB348" s="2" t="str">
        <f t="shared" si="160"/>
        <v xml:space="preserve">/*4*/{" ","","","","",false,false,false,false,10.0,1,0,0,0.0,0.0,0.0,false,false,false,0},//. </v>
      </c>
      <c r="AD348" s="12" t="str">
        <f t="shared" si="153"/>
        <v/>
      </c>
      <c r="AE348" s="12" t="str">
        <f t="shared" si="154"/>
        <v/>
      </c>
      <c r="AH348" s="12" t="str">
        <f t="shared" si="155"/>
        <v/>
      </c>
      <c r="AI348" s="12" t="str">
        <f t="shared" si="156"/>
        <v/>
      </c>
      <c r="AJ348" s="12" t="str">
        <f t="shared" si="157"/>
        <v/>
      </c>
    </row>
    <row r="349" spans="1:36" x14ac:dyDescent="0.25">
      <c r="A349" s="17">
        <f t="shared" si="158"/>
        <v>5</v>
      </c>
      <c r="B349" s="8" t="s">
        <v>31</v>
      </c>
      <c r="C349" s="4" t="s">
        <v>24</v>
      </c>
      <c r="D349" s="5" t="s">
        <v>0</v>
      </c>
      <c r="E349" s="5"/>
      <c r="F349" s="5" t="s">
        <v>1</v>
      </c>
      <c r="G349" s="5" t="s">
        <v>1</v>
      </c>
      <c r="H349" s="17" t="str">
        <f t="shared" si="152"/>
        <v>""</v>
      </c>
      <c r="I349" s="5" t="s">
        <v>46</v>
      </c>
      <c r="J349" s="5" t="s">
        <v>46</v>
      </c>
      <c r="K349" s="5" t="s">
        <v>46</v>
      </c>
      <c r="L349" s="5" t="s">
        <v>46</v>
      </c>
      <c r="M349" s="5" t="s">
        <v>22</v>
      </c>
      <c r="N349" s="8">
        <f t="shared" si="159"/>
        <v>1</v>
      </c>
      <c r="O349" s="5">
        <v>0</v>
      </c>
      <c r="P349" s="5">
        <v>0</v>
      </c>
      <c r="Q349" s="5" t="s">
        <v>23</v>
      </c>
      <c r="R349" s="5" t="s">
        <v>23</v>
      </c>
      <c r="S349" s="5" t="s">
        <v>23</v>
      </c>
      <c r="T349" s="5" t="s">
        <v>46</v>
      </c>
      <c r="U349" s="5" t="s">
        <v>46</v>
      </c>
      <c r="V349" s="5" t="s">
        <v>46</v>
      </c>
      <c r="W349" s="5">
        <v>0</v>
      </c>
      <c r="X349" s="10" t="s">
        <v>77</v>
      </c>
      <c r="Y349" s="10"/>
      <c r="Z349" s="10"/>
      <c r="AB349" s="2" t="str">
        <f t="shared" si="160"/>
        <v xml:space="preserve">/*5*/{" ","","","","",false,false,false,false,10.0,1,0,0,0.0,0.0,0.0,false,false,false,0},//. </v>
      </c>
      <c r="AD349" s="12" t="str">
        <f t="shared" si="153"/>
        <v/>
      </c>
      <c r="AE349" s="12" t="str">
        <f t="shared" si="154"/>
        <v/>
      </c>
      <c r="AH349" s="12" t="str">
        <f t="shared" si="155"/>
        <v/>
      </c>
      <c r="AI349" s="12" t="str">
        <f t="shared" si="156"/>
        <v/>
      </c>
      <c r="AJ349" s="12" t="str">
        <f t="shared" si="157"/>
        <v/>
      </c>
    </row>
    <row r="350" spans="1:36" x14ac:dyDescent="0.25">
      <c r="A350" s="17">
        <f t="shared" si="158"/>
        <v>6</v>
      </c>
      <c r="B350" s="8" t="s">
        <v>32</v>
      </c>
      <c r="C350" s="4" t="s">
        <v>24</v>
      </c>
      <c r="D350" s="5" t="s">
        <v>0</v>
      </c>
      <c r="E350" s="5"/>
      <c r="F350" s="5" t="s">
        <v>1</v>
      </c>
      <c r="G350" s="5" t="s">
        <v>1</v>
      </c>
      <c r="H350" s="17" t="str">
        <f t="shared" si="152"/>
        <v>""</v>
      </c>
      <c r="I350" s="5" t="s">
        <v>46</v>
      </c>
      <c r="J350" s="5" t="s">
        <v>46</v>
      </c>
      <c r="K350" s="5" t="s">
        <v>46</v>
      </c>
      <c r="L350" s="5" t="s">
        <v>46</v>
      </c>
      <c r="M350" s="5" t="s">
        <v>22</v>
      </c>
      <c r="N350" s="8">
        <f t="shared" si="159"/>
        <v>1</v>
      </c>
      <c r="O350" s="5">
        <v>0</v>
      </c>
      <c r="P350" s="5">
        <v>0</v>
      </c>
      <c r="Q350" s="5" t="s">
        <v>23</v>
      </c>
      <c r="R350" s="5" t="s">
        <v>23</v>
      </c>
      <c r="S350" s="5" t="s">
        <v>23</v>
      </c>
      <c r="T350" s="5" t="s">
        <v>46</v>
      </c>
      <c r="U350" s="5" t="s">
        <v>46</v>
      </c>
      <c r="V350" s="5" t="s">
        <v>46</v>
      </c>
      <c r="W350" s="5">
        <v>0</v>
      </c>
      <c r="X350" s="10" t="s">
        <v>77</v>
      </c>
      <c r="Y350" s="10"/>
      <c r="Z350" s="10"/>
      <c r="AB350" s="2" t="str">
        <f t="shared" si="160"/>
        <v xml:space="preserve">/*6*/{" ","","","","",false,false,false,false,10.0,1,0,0,0.0,0.0,0.0,false,false,false,0},//. </v>
      </c>
      <c r="AD350" s="12" t="str">
        <f t="shared" si="153"/>
        <v/>
      </c>
      <c r="AE350" s="12" t="str">
        <f t="shared" si="154"/>
        <v/>
      </c>
      <c r="AH350" s="12" t="str">
        <f t="shared" si="155"/>
        <v/>
      </c>
      <c r="AI350" s="12" t="str">
        <f t="shared" si="156"/>
        <v/>
      </c>
      <c r="AJ350" s="12" t="str">
        <f t="shared" si="157"/>
        <v/>
      </c>
    </row>
    <row r="351" spans="1:36" x14ac:dyDescent="0.25">
      <c r="A351" s="17">
        <f t="shared" si="158"/>
        <v>7</v>
      </c>
      <c r="B351" s="8" t="s">
        <v>33</v>
      </c>
      <c r="C351" s="4" t="s">
        <v>24</v>
      </c>
      <c r="D351" s="5" t="s">
        <v>0</v>
      </c>
      <c r="E351" s="5"/>
      <c r="F351" s="5" t="s">
        <v>1</v>
      </c>
      <c r="G351" s="5" t="s">
        <v>1</v>
      </c>
      <c r="H351" s="17" t="str">
        <f t="shared" si="152"/>
        <v>""</v>
      </c>
      <c r="I351" s="5" t="s">
        <v>46</v>
      </c>
      <c r="J351" s="5" t="s">
        <v>46</v>
      </c>
      <c r="K351" s="5" t="s">
        <v>46</v>
      </c>
      <c r="L351" s="5" t="s">
        <v>46</v>
      </c>
      <c r="M351" s="5" t="s">
        <v>22</v>
      </c>
      <c r="N351" s="8">
        <f t="shared" si="159"/>
        <v>1</v>
      </c>
      <c r="O351" s="5">
        <v>0</v>
      </c>
      <c r="P351" s="5">
        <v>0</v>
      </c>
      <c r="Q351" s="5" t="s">
        <v>23</v>
      </c>
      <c r="R351" s="5" t="s">
        <v>23</v>
      </c>
      <c r="S351" s="5" t="s">
        <v>23</v>
      </c>
      <c r="T351" s="5" t="s">
        <v>46</v>
      </c>
      <c r="U351" s="5" t="s">
        <v>46</v>
      </c>
      <c r="V351" s="5" t="s">
        <v>46</v>
      </c>
      <c r="W351" s="5">
        <v>0</v>
      </c>
      <c r="X351" s="10" t="s">
        <v>77</v>
      </c>
      <c r="Y351" s="10"/>
      <c r="Z351" s="10"/>
      <c r="AB351" s="2" t="str">
        <f t="shared" si="160"/>
        <v xml:space="preserve">/*7*/{" ","","","","",false,false,false,false,10.0,1,0,0,0.0,0.0,0.0,false,false,false,0},//. </v>
      </c>
      <c r="AD351" s="12" t="str">
        <f t="shared" si="153"/>
        <v/>
      </c>
      <c r="AE351" s="12" t="str">
        <f t="shared" si="154"/>
        <v/>
      </c>
      <c r="AH351" s="12" t="str">
        <f t="shared" si="155"/>
        <v/>
      </c>
      <c r="AI351" s="12" t="str">
        <f t="shared" si="156"/>
        <v/>
      </c>
      <c r="AJ351" s="12" t="str">
        <f t="shared" si="157"/>
        <v/>
      </c>
    </row>
    <row r="352" spans="1:36" x14ac:dyDescent="0.25">
      <c r="A352" s="17">
        <f t="shared" si="158"/>
        <v>8</v>
      </c>
      <c r="B352" s="8" t="s">
        <v>34</v>
      </c>
      <c r="C352" s="4" t="s">
        <v>24</v>
      </c>
      <c r="D352" s="5" t="s">
        <v>0</v>
      </c>
      <c r="E352" s="5"/>
      <c r="F352" s="5" t="s">
        <v>1</v>
      </c>
      <c r="G352" s="5" t="s">
        <v>1</v>
      </c>
      <c r="H352" s="17" t="str">
        <f t="shared" si="152"/>
        <v>""</v>
      </c>
      <c r="I352" s="5" t="s">
        <v>46</v>
      </c>
      <c r="J352" s="5" t="s">
        <v>46</v>
      </c>
      <c r="K352" s="5" t="s">
        <v>46</v>
      </c>
      <c r="L352" s="5" t="s">
        <v>46</v>
      </c>
      <c r="M352" s="5" t="s">
        <v>22</v>
      </c>
      <c r="N352" s="8">
        <f t="shared" si="159"/>
        <v>1</v>
      </c>
      <c r="O352" s="5">
        <v>0</v>
      </c>
      <c r="P352" s="5">
        <v>0</v>
      </c>
      <c r="Q352" s="5" t="s">
        <v>23</v>
      </c>
      <c r="R352" s="5" t="s">
        <v>23</v>
      </c>
      <c r="S352" s="5" t="s">
        <v>23</v>
      </c>
      <c r="T352" s="5" t="s">
        <v>46</v>
      </c>
      <c r="U352" s="5" t="s">
        <v>46</v>
      </c>
      <c r="V352" s="5" t="s">
        <v>46</v>
      </c>
      <c r="W352" s="5">
        <v>0</v>
      </c>
      <c r="X352" s="10" t="s">
        <v>77</v>
      </c>
      <c r="Y352" s="10"/>
      <c r="Z352" s="10"/>
      <c r="AB352" s="2" t="str">
        <f t="shared" si="160"/>
        <v xml:space="preserve">/*8*/{" ","","","","",false,false,false,false,10.0,1,0,0,0.0,0.0,0.0,false,false,false,0},//. </v>
      </c>
      <c r="AD352" s="12" t="str">
        <f t="shared" si="153"/>
        <v/>
      </c>
      <c r="AE352" s="12" t="str">
        <f t="shared" si="154"/>
        <v/>
      </c>
      <c r="AH352" s="12" t="str">
        <f t="shared" si="155"/>
        <v/>
      </c>
      <c r="AI352" s="12" t="str">
        <f t="shared" si="156"/>
        <v/>
      </c>
      <c r="AJ352" s="12" t="str">
        <f t="shared" si="157"/>
        <v/>
      </c>
    </row>
    <row r="353" spans="1:36" x14ac:dyDescent="0.25">
      <c r="A353" s="17">
        <f t="shared" si="158"/>
        <v>9</v>
      </c>
      <c r="B353" s="8" t="s">
        <v>35</v>
      </c>
      <c r="C353" s="4" t="s">
        <v>24</v>
      </c>
      <c r="D353" s="5" t="s">
        <v>0</v>
      </c>
      <c r="E353" s="5"/>
      <c r="F353" s="5" t="s">
        <v>1</v>
      </c>
      <c r="G353" s="5" t="s">
        <v>1</v>
      </c>
      <c r="H353" s="17" t="str">
        <f t="shared" si="152"/>
        <v>""</v>
      </c>
      <c r="I353" s="5" t="s">
        <v>46</v>
      </c>
      <c r="J353" s="5" t="s">
        <v>46</v>
      </c>
      <c r="K353" s="5" t="s">
        <v>46</v>
      </c>
      <c r="L353" s="5" t="s">
        <v>46</v>
      </c>
      <c r="M353" s="5" t="s">
        <v>22</v>
      </c>
      <c r="N353" s="8">
        <f t="shared" si="159"/>
        <v>1</v>
      </c>
      <c r="O353" s="5">
        <v>0</v>
      </c>
      <c r="P353" s="5">
        <v>0</v>
      </c>
      <c r="Q353" s="5" t="s">
        <v>23</v>
      </c>
      <c r="R353" s="5" t="s">
        <v>23</v>
      </c>
      <c r="S353" s="5" t="s">
        <v>23</v>
      </c>
      <c r="T353" s="5" t="s">
        <v>46</v>
      </c>
      <c r="U353" s="5" t="s">
        <v>46</v>
      </c>
      <c r="V353" s="5" t="s">
        <v>46</v>
      </c>
      <c r="W353" s="5">
        <v>0</v>
      </c>
      <c r="X353" s="10" t="s">
        <v>77</v>
      </c>
      <c r="Y353" s="10"/>
      <c r="Z353" s="10"/>
      <c r="AB353" s="2" t="str">
        <f t="shared" si="160"/>
        <v xml:space="preserve">/*9*/{" ","","","","",false,false,false,false,10.0,1,0,0,0.0,0.0,0.0,false,false,false,0},//. </v>
      </c>
      <c r="AD353" s="12" t="str">
        <f t="shared" si="153"/>
        <v/>
      </c>
      <c r="AE353" s="12" t="str">
        <f t="shared" si="154"/>
        <v/>
      </c>
      <c r="AH353" s="12" t="str">
        <f t="shared" si="155"/>
        <v/>
      </c>
      <c r="AI353" s="12" t="str">
        <f t="shared" si="156"/>
        <v/>
      </c>
      <c r="AJ353" s="12" t="str">
        <f t="shared" si="157"/>
        <v/>
      </c>
    </row>
    <row r="354" spans="1:36" x14ac:dyDescent="0.25">
      <c r="A354" s="17">
        <f t="shared" si="158"/>
        <v>10</v>
      </c>
      <c r="B354" s="8" t="s">
        <v>36</v>
      </c>
      <c r="C354" s="4" t="s">
        <v>24</v>
      </c>
      <c r="D354" s="5" t="s">
        <v>0</v>
      </c>
      <c r="E354" s="5"/>
      <c r="F354" s="5" t="s">
        <v>1</v>
      </c>
      <c r="G354" s="5" t="s">
        <v>1</v>
      </c>
      <c r="H354" s="17" t="str">
        <f t="shared" si="152"/>
        <v>""</v>
      </c>
      <c r="I354" s="5" t="s">
        <v>46</v>
      </c>
      <c r="J354" s="5" t="s">
        <v>46</v>
      </c>
      <c r="K354" s="5" t="s">
        <v>46</v>
      </c>
      <c r="L354" s="5" t="s">
        <v>46</v>
      </c>
      <c r="M354" s="5" t="s">
        <v>22</v>
      </c>
      <c r="N354" s="8">
        <f t="shared" si="159"/>
        <v>1</v>
      </c>
      <c r="O354" s="5">
        <v>0</v>
      </c>
      <c r="P354" s="5">
        <v>0</v>
      </c>
      <c r="Q354" s="5" t="s">
        <v>23</v>
      </c>
      <c r="R354" s="5" t="s">
        <v>23</v>
      </c>
      <c r="S354" s="5" t="s">
        <v>23</v>
      </c>
      <c r="T354" s="5" t="s">
        <v>46</v>
      </c>
      <c r="U354" s="5" t="s">
        <v>46</v>
      </c>
      <c r="V354" s="5" t="s">
        <v>46</v>
      </c>
      <c r="W354" s="5">
        <v>0</v>
      </c>
      <c r="X354" s="10" t="s">
        <v>77</v>
      </c>
      <c r="Y354" s="10"/>
      <c r="Z354" s="10"/>
      <c r="AB354" s="2" t="str">
        <f t="shared" si="160"/>
        <v xml:space="preserve">/*10*/{" ","","","","",false,false,false,false,10.0,1,0,0,0.0,0.0,0.0,false,false,false,0},//. </v>
      </c>
      <c r="AD354" s="12" t="str">
        <f t="shared" si="153"/>
        <v/>
      </c>
      <c r="AE354" s="12" t="str">
        <f t="shared" si="154"/>
        <v/>
      </c>
      <c r="AH354" s="12" t="str">
        <f t="shared" si="155"/>
        <v/>
      </c>
      <c r="AI354" s="12" t="str">
        <f t="shared" si="156"/>
        <v/>
      </c>
      <c r="AJ354" s="12" t="str">
        <f t="shared" si="157"/>
        <v/>
      </c>
    </row>
    <row r="355" spans="1:36" x14ac:dyDescent="0.25">
      <c r="A355" s="17">
        <f t="shared" si="158"/>
        <v>11</v>
      </c>
      <c r="B355" s="8" t="s">
        <v>37</v>
      </c>
      <c r="C355" s="4" t="s">
        <v>24</v>
      </c>
      <c r="D355" s="5" t="s">
        <v>0</v>
      </c>
      <c r="E355" s="5"/>
      <c r="F355" s="5" t="s">
        <v>1</v>
      </c>
      <c r="G355" s="5" t="s">
        <v>1</v>
      </c>
      <c r="H355" s="17" t="str">
        <f t="shared" si="152"/>
        <v>""</v>
      </c>
      <c r="I355" s="5" t="s">
        <v>46</v>
      </c>
      <c r="J355" s="5" t="s">
        <v>46</v>
      </c>
      <c r="K355" s="5" t="s">
        <v>46</v>
      </c>
      <c r="L355" s="5" t="s">
        <v>46</v>
      </c>
      <c r="M355" s="5" t="s">
        <v>22</v>
      </c>
      <c r="N355" s="8">
        <f t="shared" si="159"/>
        <v>1</v>
      </c>
      <c r="O355" s="5">
        <v>0</v>
      </c>
      <c r="P355" s="5">
        <v>0</v>
      </c>
      <c r="Q355" s="5" t="s">
        <v>23</v>
      </c>
      <c r="R355" s="5" t="s">
        <v>23</v>
      </c>
      <c r="S355" s="5" t="s">
        <v>23</v>
      </c>
      <c r="T355" s="5" t="s">
        <v>46</v>
      </c>
      <c r="U355" s="5" t="s">
        <v>46</v>
      </c>
      <c r="V355" s="5" t="s">
        <v>46</v>
      </c>
      <c r="W355" s="5">
        <v>0</v>
      </c>
      <c r="X355" s="10" t="s">
        <v>77</v>
      </c>
      <c r="Y355" s="10"/>
      <c r="Z355" s="10"/>
      <c r="AB355" s="2" t="str">
        <f t="shared" si="160"/>
        <v xml:space="preserve">/*11*/{" ","","","","",false,false,false,false,10.0,1,0,0,0.0,0.0,0.0,false,false,false,0},//. </v>
      </c>
      <c r="AD355" s="12" t="str">
        <f t="shared" si="153"/>
        <v/>
      </c>
      <c r="AE355" s="12" t="str">
        <f t="shared" si="154"/>
        <v/>
      </c>
      <c r="AH355" s="12" t="str">
        <f t="shared" si="155"/>
        <v/>
      </c>
      <c r="AI355" s="12" t="str">
        <f t="shared" si="156"/>
        <v/>
      </c>
      <c r="AJ355" s="12" t="str">
        <f t="shared" si="157"/>
        <v/>
      </c>
    </row>
    <row r="356" spans="1:36" x14ac:dyDescent="0.25">
      <c r="A356" s="17">
        <f t="shared" si="158"/>
        <v>12</v>
      </c>
      <c r="B356" s="8" t="s">
        <v>38</v>
      </c>
      <c r="C356" s="4" t="s">
        <v>24</v>
      </c>
      <c r="D356" s="5" t="s">
        <v>0</v>
      </c>
      <c r="E356" s="5"/>
      <c r="F356" s="5" t="s">
        <v>1</v>
      </c>
      <c r="G356" s="5" t="s">
        <v>1</v>
      </c>
      <c r="H356" s="17" t="str">
        <f t="shared" si="152"/>
        <v>""</v>
      </c>
      <c r="I356" s="5" t="s">
        <v>46</v>
      </c>
      <c r="J356" s="5" t="s">
        <v>46</v>
      </c>
      <c r="K356" s="5" t="s">
        <v>46</v>
      </c>
      <c r="L356" s="5" t="s">
        <v>46</v>
      </c>
      <c r="M356" s="5" t="s">
        <v>22</v>
      </c>
      <c r="N356" s="8">
        <f t="shared" si="159"/>
        <v>1</v>
      </c>
      <c r="O356" s="5">
        <v>0</v>
      </c>
      <c r="P356" s="5">
        <v>0</v>
      </c>
      <c r="Q356" s="5" t="s">
        <v>23</v>
      </c>
      <c r="R356" s="5" t="s">
        <v>23</v>
      </c>
      <c r="S356" s="5" t="s">
        <v>23</v>
      </c>
      <c r="T356" s="5" t="s">
        <v>46</v>
      </c>
      <c r="U356" s="5" t="s">
        <v>46</v>
      </c>
      <c r="V356" s="5" t="s">
        <v>46</v>
      </c>
      <c r="W356" s="5">
        <v>0</v>
      </c>
      <c r="X356" s="10" t="s">
        <v>77</v>
      </c>
      <c r="Y356" s="10"/>
      <c r="Z356" s="10"/>
      <c r="AB356" s="2" t="str">
        <f t="shared" si="160"/>
        <v xml:space="preserve">/*12*/{" ","","","","",false,false,false,false,10.0,1,0,0,0.0,0.0,0.0,false,false,false,0},//. </v>
      </c>
      <c r="AD356" s="12" t="str">
        <f t="shared" si="153"/>
        <v/>
      </c>
      <c r="AE356" s="12" t="str">
        <f t="shared" si="154"/>
        <v/>
      </c>
      <c r="AH356" s="12" t="str">
        <f t="shared" si="155"/>
        <v/>
      </c>
      <c r="AI356" s="12" t="str">
        <f t="shared" si="156"/>
        <v/>
      </c>
      <c r="AJ356" s="12" t="str">
        <f t="shared" si="157"/>
        <v/>
      </c>
    </row>
    <row r="357" spans="1:36" x14ac:dyDescent="0.25">
      <c r="A357" s="17">
        <f t="shared" si="158"/>
        <v>13</v>
      </c>
      <c r="B357" s="8" t="s">
        <v>39</v>
      </c>
      <c r="C357" s="4" t="s">
        <v>24</v>
      </c>
      <c r="D357" s="5" t="s">
        <v>0</v>
      </c>
      <c r="E357" s="5"/>
      <c r="F357" s="5" t="s">
        <v>1</v>
      </c>
      <c r="G357" s="5" t="s">
        <v>1</v>
      </c>
      <c r="H357" s="17" t="str">
        <f t="shared" si="152"/>
        <v>""</v>
      </c>
      <c r="I357" s="5" t="s">
        <v>46</v>
      </c>
      <c r="J357" s="5" t="s">
        <v>46</v>
      </c>
      <c r="K357" s="5" t="s">
        <v>46</v>
      </c>
      <c r="L357" s="5" t="s">
        <v>46</v>
      </c>
      <c r="M357" s="5" t="s">
        <v>22</v>
      </c>
      <c r="N357" s="8">
        <f t="shared" si="159"/>
        <v>1</v>
      </c>
      <c r="O357" s="5">
        <v>0</v>
      </c>
      <c r="P357" s="5">
        <v>0</v>
      </c>
      <c r="Q357" s="5" t="s">
        <v>23</v>
      </c>
      <c r="R357" s="5" t="s">
        <v>23</v>
      </c>
      <c r="S357" s="5" t="s">
        <v>23</v>
      </c>
      <c r="T357" s="5" t="s">
        <v>46</v>
      </c>
      <c r="U357" s="5" t="s">
        <v>46</v>
      </c>
      <c r="V357" s="5" t="s">
        <v>46</v>
      </c>
      <c r="W357" s="5">
        <v>0</v>
      </c>
      <c r="X357" s="10" t="s">
        <v>77</v>
      </c>
      <c r="Y357" s="10"/>
      <c r="Z357" s="10"/>
      <c r="AB357" s="2" t="str">
        <f t="shared" si="160"/>
        <v xml:space="preserve">/*13*/{" ","","","","",false,false,false,false,10.0,1,0,0,0.0,0.0,0.0,false,false,false,0},//. </v>
      </c>
      <c r="AD357" s="12" t="str">
        <f t="shared" si="153"/>
        <v/>
      </c>
      <c r="AE357" s="12" t="str">
        <f t="shared" si="154"/>
        <v/>
      </c>
      <c r="AH357" s="12" t="str">
        <f t="shared" si="155"/>
        <v/>
      </c>
      <c r="AI357" s="12" t="str">
        <f t="shared" si="156"/>
        <v/>
      </c>
      <c r="AJ357" s="12" t="str">
        <f t="shared" si="157"/>
        <v/>
      </c>
    </row>
    <row r="358" spans="1:36" x14ac:dyDescent="0.25">
      <c r="A358" s="17">
        <f t="shared" si="158"/>
        <v>14</v>
      </c>
      <c r="B358" s="8" t="s">
        <v>40</v>
      </c>
      <c r="C358" s="4" t="s">
        <v>24</v>
      </c>
      <c r="D358" s="5" t="s">
        <v>0</v>
      </c>
      <c r="E358" s="5"/>
      <c r="F358" s="5" t="s">
        <v>1</v>
      </c>
      <c r="G358" s="5" t="s">
        <v>1</v>
      </c>
      <c r="H358" s="17" t="str">
        <f t="shared" si="152"/>
        <v>""</v>
      </c>
      <c r="I358" s="5" t="s">
        <v>46</v>
      </c>
      <c r="J358" s="5" t="s">
        <v>46</v>
      </c>
      <c r="K358" s="5" t="s">
        <v>46</v>
      </c>
      <c r="L358" s="5" t="s">
        <v>46</v>
      </c>
      <c r="M358" s="5" t="s">
        <v>22</v>
      </c>
      <c r="N358" s="8">
        <f t="shared" si="159"/>
        <v>1</v>
      </c>
      <c r="O358" s="5">
        <v>0</v>
      </c>
      <c r="P358" s="5">
        <v>0</v>
      </c>
      <c r="Q358" s="5" t="s">
        <v>23</v>
      </c>
      <c r="R358" s="5" t="s">
        <v>23</v>
      </c>
      <c r="S358" s="5" t="s">
        <v>23</v>
      </c>
      <c r="T358" s="5" t="s">
        <v>46</v>
      </c>
      <c r="U358" s="5" t="s">
        <v>46</v>
      </c>
      <c r="V358" s="5" t="s">
        <v>46</v>
      </c>
      <c r="W358" s="5">
        <v>0</v>
      </c>
      <c r="X358" s="10" t="s">
        <v>77</v>
      </c>
      <c r="Y358" s="10"/>
      <c r="Z358" s="10"/>
      <c r="AB358" s="2" t="str">
        <f t="shared" si="160"/>
        <v xml:space="preserve">/*14*/{" ","","","","",false,false,false,false,10.0,1,0,0,0.0,0.0,0.0,false,false,false,0},//. </v>
      </c>
      <c r="AD358" s="12" t="str">
        <f t="shared" si="153"/>
        <v/>
      </c>
      <c r="AE358" s="12" t="str">
        <f t="shared" si="154"/>
        <v/>
      </c>
      <c r="AH358" s="12" t="str">
        <f t="shared" si="155"/>
        <v/>
      </c>
      <c r="AI358" s="12" t="str">
        <f t="shared" si="156"/>
        <v/>
      </c>
      <c r="AJ358" s="12" t="str">
        <f t="shared" si="157"/>
        <v/>
      </c>
    </row>
    <row r="359" spans="1:36" x14ac:dyDescent="0.25">
      <c r="A359" s="17">
        <f t="shared" si="158"/>
        <v>15</v>
      </c>
      <c r="B359" s="8" t="s">
        <v>41</v>
      </c>
      <c r="C359" s="4" t="s">
        <v>24</v>
      </c>
      <c r="D359" s="5" t="s">
        <v>0</v>
      </c>
      <c r="E359" s="5"/>
      <c r="F359" s="5" t="s">
        <v>1</v>
      </c>
      <c r="G359" s="5" t="s">
        <v>1</v>
      </c>
      <c r="H359" s="17" t="str">
        <f t="shared" si="152"/>
        <v>""</v>
      </c>
      <c r="I359" s="5" t="s">
        <v>46</v>
      </c>
      <c r="J359" s="5" t="s">
        <v>46</v>
      </c>
      <c r="K359" s="5" t="s">
        <v>46</v>
      </c>
      <c r="L359" s="5" t="s">
        <v>46</v>
      </c>
      <c r="M359" s="5" t="s">
        <v>22</v>
      </c>
      <c r="N359" s="8">
        <f t="shared" si="159"/>
        <v>1</v>
      </c>
      <c r="O359" s="5">
        <v>0</v>
      </c>
      <c r="P359" s="5">
        <v>0</v>
      </c>
      <c r="Q359" s="5" t="s">
        <v>23</v>
      </c>
      <c r="R359" s="5" t="s">
        <v>23</v>
      </c>
      <c r="S359" s="5" t="s">
        <v>23</v>
      </c>
      <c r="T359" s="5" t="s">
        <v>46</v>
      </c>
      <c r="U359" s="5" t="s">
        <v>46</v>
      </c>
      <c r="V359" s="5" t="s">
        <v>46</v>
      </c>
      <c r="W359" s="5">
        <v>0</v>
      </c>
      <c r="X359" s="10" t="s">
        <v>77</v>
      </c>
      <c r="Y359" s="10"/>
      <c r="Z359" s="10"/>
      <c r="AB359" s="2" t="str">
        <f t="shared" si="160"/>
        <v xml:space="preserve">/*15*/{" ","","","","",false,false,false,false,10.0,1,0,0,0.0,0.0,0.0,false,false,false,0},//. </v>
      </c>
      <c r="AD359" s="12" t="str">
        <f t="shared" si="153"/>
        <v/>
      </c>
      <c r="AE359" s="12" t="str">
        <f t="shared" si="154"/>
        <v/>
      </c>
      <c r="AH359" s="12" t="str">
        <f t="shared" si="155"/>
        <v/>
      </c>
      <c r="AI359" s="12" t="str">
        <f t="shared" si="156"/>
        <v/>
      </c>
      <c r="AJ359" s="12" t="str">
        <f t="shared" si="157"/>
        <v/>
      </c>
    </row>
    <row r="360" spans="1:36" x14ac:dyDescent="0.25">
      <c r="A360" s="17">
        <f t="shared" si="158"/>
        <v>16</v>
      </c>
      <c r="B360" s="8" t="s">
        <v>42</v>
      </c>
      <c r="C360" s="4" t="s">
        <v>24</v>
      </c>
      <c r="D360" s="5" t="s">
        <v>0</v>
      </c>
      <c r="E360" s="5"/>
      <c r="F360" s="5" t="s">
        <v>1</v>
      </c>
      <c r="G360" s="5" t="s">
        <v>1</v>
      </c>
      <c r="H360" s="17" t="str">
        <f t="shared" si="152"/>
        <v>""</v>
      </c>
      <c r="I360" s="5" t="s">
        <v>46</v>
      </c>
      <c r="J360" s="5" t="s">
        <v>46</v>
      </c>
      <c r="K360" s="5" t="s">
        <v>46</v>
      </c>
      <c r="L360" s="5" t="s">
        <v>46</v>
      </c>
      <c r="M360" s="5" t="s">
        <v>22</v>
      </c>
      <c r="N360" s="8">
        <f t="shared" si="159"/>
        <v>1</v>
      </c>
      <c r="O360" s="5">
        <v>0</v>
      </c>
      <c r="P360" s="5">
        <v>0</v>
      </c>
      <c r="Q360" s="5" t="s">
        <v>23</v>
      </c>
      <c r="R360" s="5" t="s">
        <v>23</v>
      </c>
      <c r="S360" s="5" t="s">
        <v>23</v>
      </c>
      <c r="T360" s="5" t="s">
        <v>46</v>
      </c>
      <c r="U360" s="5" t="s">
        <v>46</v>
      </c>
      <c r="V360" s="5" t="s">
        <v>46</v>
      </c>
      <c r="W360" s="5">
        <v>0</v>
      </c>
      <c r="X360" s="10" t="s">
        <v>77</v>
      </c>
      <c r="Y360" s="10"/>
      <c r="Z360" s="10"/>
      <c r="AB360" s="2" t="str">
        <f t="shared" si="160"/>
        <v xml:space="preserve">/*16*/{" ","","","","",false,false,false,false,10.0,1,0,0,0.0,0.0,0.0,false,false,false,0},//. </v>
      </c>
      <c r="AD360" s="12" t="str">
        <f t="shared" si="153"/>
        <v/>
      </c>
      <c r="AE360" s="12" t="str">
        <f t="shared" si="154"/>
        <v/>
      </c>
      <c r="AH360" s="12" t="str">
        <f t="shared" si="155"/>
        <v/>
      </c>
      <c r="AI360" s="12" t="str">
        <f t="shared" si="156"/>
        <v/>
      </c>
      <c r="AJ360" s="12" t="str">
        <f t="shared" si="157"/>
        <v/>
      </c>
    </row>
    <row r="361" spans="1:36" x14ac:dyDescent="0.25">
      <c r="A361" s="17">
        <f t="shared" si="158"/>
        <v>17</v>
      </c>
      <c r="B361" s="8" t="s">
        <v>43</v>
      </c>
      <c r="C361" s="4" t="s">
        <v>24</v>
      </c>
      <c r="D361" s="5" t="s">
        <v>0</v>
      </c>
      <c r="E361" s="5"/>
      <c r="F361" s="5" t="s">
        <v>1</v>
      </c>
      <c r="G361" s="5" t="s">
        <v>1</v>
      </c>
      <c r="H361" s="17" t="str">
        <f t="shared" si="152"/>
        <v>""</v>
      </c>
      <c r="I361" s="5" t="s">
        <v>46</v>
      </c>
      <c r="J361" s="5" t="s">
        <v>46</v>
      </c>
      <c r="K361" s="5" t="s">
        <v>46</v>
      </c>
      <c r="L361" s="5" t="s">
        <v>46</v>
      </c>
      <c r="M361" s="5" t="s">
        <v>22</v>
      </c>
      <c r="N361" s="8">
        <f t="shared" si="159"/>
        <v>1</v>
      </c>
      <c r="O361" s="5">
        <v>0</v>
      </c>
      <c r="P361" s="5">
        <v>0</v>
      </c>
      <c r="Q361" s="5" t="s">
        <v>23</v>
      </c>
      <c r="R361" s="5" t="s">
        <v>23</v>
      </c>
      <c r="S361" s="5" t="s">
        <v>23</v>
      </c>
      <c r="T361" s="5" t="s">
        <v>46</v>
      </c>
      <c r="U361" s="5" t="s">
        <v>46</v>
      </c>
      <c r="V361" s="5" t="s">
        <v>46</v>
      </c>
      <c r="W361" s="5">
        <v>0</v>
      </c>
      <c r="X361" s="10" t="s">
        <v>77</v>
      </c>
      <c r="Y361" s="10"/>
      <c r="Z361" s="10"/>
      <c r="AB361" s="2" t="str">
        <f t="shared" si="160"/>
        <v xml:space="preserve">/*17*/{" ","","","","",false,false,false,false,10.0,1,0,0,0.0,0.0,0.0,false,false,false,0},//. </v>
      </c>
      <c r="AD361" s="12" t="str">
        <f t="shared" si="153"/>
        <v/>
      </c>
      <c r="AE361" s="12" t="str">
        <f t="shared" si="154"/>
        <v/>
      </c>
      <c r="AH361" s="12" t="str">
        <f t="shared" si="155"/>
        <v/>
      </c>
      <c r="AI361" s="12" t="str">
        <f t="shared" si="156"/>
        <v/>
      </c>
      <c r="AJ361" s="12" t="str">
        <f t="shared" si="157"/>
        <v/>
      </c>
    </row>
    <row r="362" spans="1:36" x14ac:dyDescent="0.25">
      <c r="A362" s="17">
        <f t="shared" si="158"/>
        <v>18</v>
      </c>
      <c r="B362" s="8" t="s">
        <v>44</v>
      </c>
      <c r="C362" s="4" t="s">
        <v>24</v>
      </c>
      <c r="D362" s="5" t="s">
        <v>0</v>
      </c>
      <c r="E362" s="5"/>
      <c r="F362" s="5" t="s">
        <v>1</v>
      </c>
      <c r="G362" s="5" t="s">
        <v>1</v>
      </c>
      <c r="H362" s="17" t="str">
        <f t="shared" si="152"/>
        <v>""</v>
      </c>
      <c r="I362" s="5" t="s">
        <v>46</v>
      </c>
      <c r="J362" s="5" t="s">
        <v>46</v>
      </c>
      <c r="K362" s="5" t="s">
        <v>46</v>
      </c>
      <c r="L362" s="5" t="s">
        <v>46</v>
      </c>
      <c r="M362" s="5" t="s">
        <v>22</v>
      </c>
      <c r="N362" s="8">
        <f t="shared" si="159"/>
        <v>1</v>
      </c>
      <c r="O362" s="5">
        <v>0</v>
      </c>
      <c r="P362" s="5">
        <v>0</v>
      </c>
      <c r="Q362" s="5" t="s">
        <v>23</v>
      </c>
      <c r="R362" s="5" t="s">
        <v>23</v>
      </c>
      <c r="S362" s="5" t="s">
        <v>23</v>
      </c>
      <c r="T362" s="5" t="s">
        <v>46</v>
      </c>
      <c r="U362" s="5" t="s">
        <v>46</v>
      </c>
      <c r="V362" s="5" t="s">
        <v>46</v>
      </c>
      <c r="W362" s="5">
        <v>0</v>
      </c>
      <c r="X362" s="10" t="s">
        <v>77</v>
      </c>
      <c r="Y362" s="10"/>
      <c r="Z362" s="10"/>
      <c r="AB362" s="2" t="str">
        <f t="shared" si="160"/>
        <v xml:space="preserve">/*18*/{" ","","","","",false,false,false,false,10.0,1,0,0,0.0,0.0,0.0,false,false,false,0},//. </v>
      </c>
      <c r="AD362" s="12" t="str">
        <f t="shared" si="153"/>
        <v/>
      </c>
      <c r="AE362" s="12" t="str">
        <f t="shared" si="154"/>
        <v/>
      </c>
      <c r="AH362" s="12" t="str">
        <f t="shared" si="155"/>
        <v/>
      </c>
      <c r="AI362" s="12" t="str">
        <f t="shared" si="156"/>
        <v/>
      </c>
      <c r="AJ362" s="12" t="str">
        <f t="shared" si="157"/>
        <v/>
      </c>
    </row>
    <row r="363" spans="1:36" x14ac:dyDescent="0.25">
      <c r="A363" s="17">
        <f t="shared" si="158"/>
        <v>19</v>
      </c>
      <c r="B363" s="8" t="s">
        <v>45</v>
      </c>
      <c r="C363" s="4" t="s">
        <v>24</v>
      </c>
      <c r="D363" s="5" t="s">
        <v>0</v>
      </c>
      <c r="E363" s="5"/>
      <c r="F363" s="5" t="s">
        <v>1</v>
      </c>
      <c r="G363" s="5" t="s">
        <v>1</v>
      </c>
      <c r="H363" s="17" t="str">
        <f t="shared" si="152"/>
        <v>""</v>
      </c>
      <c r="I363" s="5" t="s">
        <v>46</v>
      </c>
      <c r="J363" s="5" t="s">
        <v>46</v>
      </c>
      <c r="K363" s="5" t="s">
        <v>46</v>
      </c>
      <c r="L363" s="5" t="s">
        <v>46</v>
      </c>
      <c r="M363" s="5" t="s">
        <v>22</v>
      </c>
      <c r="N363" s="8">
        <f t="shared" si="159"/>
        <v>1</v>
      </c>
      <c r="O363" s="5">
        <v>0</v>
      </c>
      <c r="P363" s="5">
        <v>0</v>
      </c>
      <c r="Q363" s="5" t="s">
        <v>23</v>
      </c>
      <c r="R363" s="5" t="s">
        <v>23</v>
      </c>
      <c r="S363" s="5" t="s">
        <v>23</v>
      </c>
      <c r="T363" s="5" t="s">
        <v>46</v>
      </c>
      <c r="U363" s="5" t="s">
        <v>46</v>
      </c>
      <c r="V363" s="5" t="s">
        <v>46</v>
      </c>
      <c r="W363" s="5">
        <v>0</v>
      </c>
      <c r="X363" s="10" t="s">
        <v>77</v>
      </c>
      <c r="Y363" s="10"/>
      <c r="Z363" s="10"/>
      <c r="AB363" s="2" t="str">
        <f t="shared" si="160"/>
        <v xml:space="preserve">/*19*/{" ","","","","",false,false,false,false,10.0,1,0,0,0.0,0.0,0.0,false,false,false,0},//. </v>
      </c>
      <c r="AD363" s="12" t="str">
        <f>IF(X363="Да",CONCATENATE("float &amp;",SUBSTITUTE(Z363," ","")," = Screens[",$A$341,"][",A363,"].Param;// Ссылка. ",$Y$32,". ",Y363),"")</f>
        <v/>
      </c>
      <c r="AE363" s="12" t="str">
        <f>IF(X363="Да",CONCATENATE("float ",SUBSTITUTE(Z363," ","")," = Screens[",$A$341,"][",A363,"].Param;//",$Y$32,". ",Y363),"")</f>
        <v/>
      </c>
      <c r="AH363" s="12" t="str">
        <f>IF(X363="Да",CONCATENATE("Ref.",,SUBSTITUTE(Z363," ","")," = ",$AI$1,$B$341,SUBSTITUTE(E363," ",""),";//",$Y$32,". ",Y363),"")</f>
        <v/>
      </c>
      <c r="AI363" s="12" t="str">
        <f t="shared" si="156"/>
        <v/>
      </c>
      <c r="AJ363" s="12" t="str">
        <f t="shared" ref="AJ363" si="161">IF(X363="Да",CONCATENATE($AI$1,SUBSTITUTE(Z363," ","")," = ",M363,";//",$Y$32,". ",Y363),"")</f>
        <v/>
      </c>
    </row>
    <row r="364" spans="1:36" x14ac:dyDescent="0.25">
      <c r="C364" s="21"/>
      <c r="D364" s="21"/>
      <c r="E364" s="5"/>
      <c r="AB364" s="3" t="s">
        <v>25</v>
      </c>
    </row>
    <row r="365" spans="1:36" x14ac:dyDescent="0.25">
      <c r="A365" s="14">
        <f>A341+1</f>
        <v>15</v>
      </c>
      <c r="D365" s="7" t="s">
        <v>69</v>
      </c>
      <c r="AB365" s="3" t="s">
        <v>51</v>
      </c>
    </row>
    <row r="366" spans="1:36" ht="45" x14ac:dyDescent="0.25">
      <c r="A366" s="15" t="s">
        <v>78</v>
      </c>
      <c r="B366" s="18"/>
      <c r="C366" s="6" t="s">
        <v>25</v>
      </c>
      <c r="D366" s="6" t="s">
        <v>17</v>
      </c>
      <c r="E366" s="6" t="s">
        <v>18</v>
      </c>
      <c r="F366" s="6" t="s">
        <v>19</v>
      </c>
      <c r="G366" s="6" t="s">
        <v>20</v>
      </c>
      <c r="H366" s="6" t="s">
        <v>21</v>
      </c>
      <c r="I366" s="6" t="s">
        <v>2</v>
      </c>
      <c r="J366" s="6" t="s">
        <v>3</v>
      </c>
      <c r="K366" s="6" t="s">
        <v>4</v>
      </c>
      <c r="L366" s="6" t="s">
        <v>5</v>
      </c>
      <c r="M366" s="6" t="s">
        <v>6</v>
      </c>
      <c r="N366" s="6" t="s">
        <v>7</v>
      </c>
      <c r="O366" s="6" t="s">
        <v>8</v>
      </c>
      <c r="P366" s="6" t="s">
        <v>9</v>
      </c>
      <c r="Q366" s="6" t="s">
        <v>10</v>
      </c>
      <c r="R366" s="6" t="s">
        <v>11</v>
      </c>
      <c r="S366" s="6" t="s">
        <v>12</v>
      </c>
      <c r="T366" s="6" t="s">
        <v>13</v>
      </c>
      <c r="U366" s="6" t="s">
        <v>14</v>
      </c>
      <c r="V366" s="6" t="s">
        <v>15</v>
      </c>
      <c r="W366" s="6" t="s">
        <v>16</v>
      </c>
      <c r="X366" s="6" t="s">
        <v>76</v>
      </c>
      <c r="Y366" s="6" t="s">
        <v>80</v>
      </c>
      <c r="Z366" s="6" t="s">
        <v>97</v>
      </c>
      <c r="AA366" s="1"/>
      <c r="AB366" s="2" t="str">
        <f>CONCATENATE(D365," - ",E368)</f>
        <v xml:space="preserve">//Экран 15 - </v>
      </c>
    </row>
    <row r="367" spans="1:36" x14ac:dyDescent="0.25">
      <c r="A367" s="16"/>
      <c r="B367" s="13"/>
      <c r="C367" s="4" t="s">
        <v>24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11"/>
      <c r="Y367" s="11"/>
      <c r="Z367" s="11"/>
      <c r="AA367" s="1"/>
      <c r="AB367" s="3" t="str">
        <f>C367</f>
        <v>{</v>
      </c>
    </row>
    <row r="368" spans="1:36" x14ac:dyDescent="0.25">
      <c r="A368" s="17">
        <v>0</v>
      </c>
      <c r="B368" s="8" t="s">
        <v>27</v>
      </c>
      <c r="C368" s="4" t="s">
        <v>24</v>
      </c>
      <c r="D368" s="5" t="s">
        <v>0</v>
      </c>
      <c r="E368" s="5"/>
      <c r="F368" s="5" t="s">
        <v>1</v>
      </c>
      <c r="G368" s="5" t="s">
        <v>1</v>
      </c>
      <c r="H368" s="17" t="str">
        <f t="shared" ref="H368:H387" si="162">IF(AND(I368="true",J368="false"),""" ""","""""")</f>
        <v>""</v>
      </c>
      <c r="I368" s="5" t="s">
        <v>46</v>
      </c>
      <c r="J368" s="5" t="s">
        <v>46</v>
      </c>
      <c r="K368" s="5" t="s">
        <v>46</v>
      </c>
      <c r="L368" s="5" t="s">
        <v>47</v>
      </c>
      <c r="M368" s="5" t="s">
        <v>22</v>
      </c>
      <c r="N368" s="8">
        <v>1</v>
      </c>
      <c r="O368" s="5">
        <v>0</v>
      </c>
      <c r="P368" s="5">
        <v>0</v>
      </c>
      <c r="Q368" s="5" t="s">
        <v>48</v>
      </c>
      <c r="R368" s="5" t="s">
        <v>23</v>
      </c>
      <c r="S368" s="5" t="s">
        <v>49</v>
      </c>
      <c r="T368" s="5" t="s">
        <v>46</v>
      </c>
      <c r="U368" s="5" t="s">
        <v>46</v>
      </c>
      <c r="V368" s="5" t="s">
        <v>46</v>
      </c>
      <c r="W368" s="5">
        <v>0</v>
      </c>
      <c r="X368" s="10" t="s">
        <v>77</v>
      </c>
      <c r="Y368" s="10"/>
      <c r="Z368" s="10"/>
      <c r="AB368" s="2" t="str">
        <f>CONCATENATE(B368,C368,D368,",""",E368,""",",F368,",",G368,",",H368,",",I368,",",J368,",",K368,",",L368,",",M368,",",N368,",",O368,",",P368,",",Q368,",",R368,",",S368,",",T368,",",U368,",",V368,",",W368,"},//",Y368)</f>
        <v>/*0*/{" ","","","","",false,false,false,true,10.0,1,0,0,100.0,0.0,0.1,false,false,false,0},//</v>
      </c>
      <c r="AD368" s="12" t="str">
        <f t="shared" ref="AD368:AD386" si="163">IF(X368="Да",IF(T368="false",CONCATENATE("float &amp;",SUBSTITUTE(Z368," ","")," = Screens[",$A$341,"][",A368,"].Param;// Ссылка. ",$Y$32,". ",Y368),CONCATENATE("bool &amp;",SUBSTITUTE(Z368," ","")," = Screens[",$A$341,"][",A368,"].BoolParam;// Ссылка. ",$Y$32,". ",Y368)),"")</f>
        <v/>
      </c>
      <c r="AE368" s="12" t="str">
        <f t="shared" ref="AE368:AE386" si="164">IF(X368="Да",IF(T368="false",CONCATENATE("float ",SUBSTITUTE(Z368," ","")," = Screens[",$A$341,"][",A368,"].Param;//",$Y$32,". ",Y368),CONCATENATE("bool ",SUBSTITUTE(Z368," ","")," = Screens[",$A$341,"][",A368,"].BoolParam;//",$Y$32,". ",Y368)),"")</f>
        <v/>
      </c>
      <c r="AH368" s="12" t="str">
        <f t="shared" ref="AH368:AH386" si="165">IF(X368="Да",CONCATENATE("Ref.",,SUBSTITUTE(Z368," ","")," = ",$AI$1,SUBSTITUTE(Z368," ",""),";//",$Y$32,". ",Y368),"")</f>
        <v/>
      </c>
      <c r="AI368" s="12" t="str">
        <f t="shared" ref="AI368:AI387" si="166">IF(X368="Да",CONCATENATE($AI$1,SUBSTITUTE(Z368," ","")," = Ref.",SUBSTITUTE(Z368," ",""),";//",$Y$32,". ",Y368),"")</f>
        <v/>
      </c>
      <c r="AJ368" s="12" t="str">
        <f t="shared" ref="AJ368:AJ386" si="167">IF(X368="Да",IF(T368="false",CONCATENATE($AI$1,SUBSTITUTE(Z368," ","")," = ",M368,";//",$Y$32,". ",Y368),CONCATENATE($AI$1,SUBSTITUTE(Z368," ","")," = ",U368,";//",$Y$32,". ",Y368)),"")</f>
        <v/>
      </c>
    </row>
    <row r="369" spans="1:36" x14ac:dyDescent="0.25">
      <c r="A369" s="17">
        <f>A368+1</f>
        <v>1</v>
      </c>
      <c r="B369" s="8" t="s">
        <v>26</v>
      </c>
      <c r="C369" s="4" t="s">
        <v>24</v>
      </c>
      <c r="D369" s="5" t="s">
        <v>0</v>
      </c>
      <c r="E369" s="5"/>
      <c r="F369" s="5" t="s">
        <v>1</v>
      </c>
      <c r="G369" s="5" t="s">
        <v>1</v>
      </c>
      <c r="H369" s="17" t="str">
        <f t="shared" si="162"/>
        <v>""</v>
      </c>
      <c r="I369" s="5" t="s">
        <v>46</v>
      </c>
      <c r="J369" s="5" t="s">
        <v>46</v>
      </c>
      <c r="K369" s="5" t="s">
        <v>46</v>
      </c>
      <c r="L369" s="5" t="s">
        <v>46</v>
      </c>
      <c r="M369" s="5" t="s">
        <v>22</v>
      </c>
      <c r="N369" s="8">
        <f>N368</f>
        <v>1</v>
      </c>
      <c r="O369" s="5">
        <v>0</v>
      </c>
      <c r="P369" s="5">
        <v>0</v>
      </c>
      <c r="Q369" s="5" t="s">
        <v>23</v>
      </c>
      <c r="R369" s="5" t="s">
        <v>23</v>
      </c>
      <c r="S369" s="5" t="s">
        <v>23</v>
      </c>
      <c r="T369" s="5" t="s">
        <v>46</v>
      </c>
      <c r="U369" s="5" t="s">
        <v>46</v>
      </c>
      <c r="V369" s="5" t="s">
        <v>46</v>
      </c>
      <c r="W369" s="5">
        <v>0</v>
      </c>
      <c r="X369" s="10" t="s">
        <v>77</v>
      </c>
      <c r="Y369" s="10"/>
      <c r="Z369" s="10"/>
      <c r="AB369" s="2" t="str">
        <f>CONCATENATE(B369,C369,D369,",""",E369,""",",F369,",",G369,",",H369,",",I369,",",J369,",",K369,",",L369,",",M369,",",N369,",",O369,",",P369,",",Q369,",",R369,",",S369,",",T369,",",U369,",",V369,",",W369,"},//",Y$368,". ",Y369)</f>
        <v xml:space="preserve">/*1*/{" ","","","","",false,false,false,false,10.0,1,0,0,0.0,0.0,0.0,false,false,false,0},//. </v>
      </c>
      <c r="AD369" s="12" t="str">
        <f t="shared" si="163"/>
        <v/>
      </c>
      <c r="AE369" s="12" t="str">
        <f t="shared" si="164"/>
        <v/>
      </c>
      <c r="AH369" s="12" t="str">
        <f t="shared" si="165"/>
        <v/>
      </c>
      <c r="AI369" s="12" t="str">
        <f t="shared" si="166"/>
        <v/>
      </c>
      <c r="AJ369" s="12" t="str">
        <f t="shared" si="167"/>
        <v/>
      </c>
    </row>
    <row r="370" spans="1:36" x14ac:dyDescent="0.25">
      <c r="A370" s="17">
        <f t="shared" ref="A370:A387" si="168">A369+1</f>
        <v>2</v>
      </c>
      <c r="B370" s="8" t="s">
        <v>28</v>
      </c>
      <c r="C370" s="4" t="s">
        <v>24</v>
      </c>
      <c r="D370" s="5" t="s">
        <v>0</v>
      </c>
      <c r="E370" s="5"/>
      <c r="F370" s="5" t="s">
        <v>1</v>
      </c>
      <c r="G370" s="5" t="s">
        <v>1</v>
      </c>
      <c r="H370" s="17" t="str">
        <f t="shared" si="162"/>
        <v>""</v>
      </c>
      <c r="I370" s="5" t="s">
        <v>46</v>
      </c>
      <c r="J370" s="5" t="s">
        <v>46</v>
      </c>
      <c r="K370" s="5" t="s">
        <v>46</v>
      </c>
      <c r="L370" s="5" t="s">
        <v>46</v>
      </c>
      <c r="M370" s="5" t="s">
        <v>22</v>
      </c>
      <c r="N370" s="8">
        <f t="shared" ref="N370:N387" si="169">N369</f>
        <v>1</v>
      </c>
      <c r="O370" s="5">
        <v>0</v>
      </c>
      <c r="P370" s="5">
        <v>0</v>
      </c>
      <c r="Q370" s="5" t="s">
        <v>23</v>
      </c>
      <c r="R370" s="5" t="s">
        <v>23</v>
      </c>
      <c r="S370" s="5" t="s">
        <v>23</v>
      </c>
      <c r="T370" s="5" t="s">
        <v>46</v>
      </c>
      <c r="U370" s="5" t="s">
        <v>46</v>
      </c>
      <c r="V370" s="5" t="s">
        <v>46</v>
      </c>
      <c r="W370" s="5">
        <v>0</v>
      </c>
      <c r="X370" s="10" t="s">
        <v>77</v>
      </c>
      <c r="Y370" s="10"/>
      <c r="Z370" s="10"/>
      <c r="AB370" s="2" t="str">
        <f t="shared" ref="AB370:AB387" si="170">CONCATENATE(B370,C370,D370,",""",E370,""",",F370,",",G370,",",H370,",",I370,",",J370,",",K370,",",L370,",",M370,",",N370,",",O370,",",P370,",",Q370,",",R370,",",S370,",",T370,",",U370,",",V370,",",W370,"},//",Y$368,". ",Y370)</f>
        <v xml:space="preserve">/*2*/{" ","","","","",false,false,false,false,10.0,1,0,0,0.0,0.0,0.0,false,false,false,0},//. </v>
      </c>
      <c r="AD370" s="12" t="str">
        <f t="shared" si="163"/>
        <v/>
      </c>
      <c r="AE370" s="12" t="str">
        <f t="shared" si="164"/>
        <v/>
      </c>
      <c r="AH370" s="12" t="str">
        <f t="shared" si="165"/>
        <v/>
      </c>
      <c r="AI370" s="12" t="str">
        <f t="shared" si="166"/>
        <v/>
      </c>
      <c r="AJ370" s="12" t="str">
        <f t="shared" si="167"/>
        <v/>
      </c>
    </row>
    <row r="371" spans="1:36" x14ac:dyDescent="0.25">
      <c r="A371" s="17">
        <f t="shared" si="168"/>
        <v>3</v>
      </c>
      <c r="B371" s="8" t="s">
        <v>29</v>
      </c>
      <c r="C371" s="4" t="s">
        <v>24</v>
      </c>
      <c r="D371" s="5" t="s">
        <v>0</v>
      </c>
      <c r="E371" s="5"/>
      <c r="F371" s="5" t="s">
        <v>1</v>
      </c>
      <c r="G371" s="5" t="s">
        <v>1</v>
      </c>
      <c r="H371" s="17" t="str">
        <f t="shared" si="162"/>
        <v>""</v>
      </c>
      <c r="I371" s="5" t="s">
        <v>46</v>
      </c>
      <c r="J371" s="5" t="s">
        <v>46</v>
      </c>
      <c r="K371" s="5" t="s">
        <v>46</v>
      </c>
      <c r="L371" s="5" t="s">
        <v>46</v>
      </c>
      <c r="M371" s="5" t="s">
        <v>22</v>
      </c>
      <c r="N371" s="8">
        <f t="shared" si="169"/>
        <v>1</v>
      </c>
      <c r="O371" s="5">
        <v>2</v>
      </c>
      <c r="P371" s="5">
        <v>0</v>
      </c>
      <c r="Q371" s="5" t="s">
        <v>23</v>
      </c>
      <c r="R371" s="5" t="s">
        <v>23</v>
      </c>
      <c r="S371" s="5" t="s">
        <v>23</v>
      </c>
      <c r="T371" s="5" t="s">
        <v>46</v>
      </c>
      <c r="U371" s="5" t="s">
        <v>46</v>
      </c>
      <c r="V371" s="5" t="s">
        <v>46</v>
      </c>
      <c r="W371" s="5">
        <v>0</v>
      </c>
      <c r="X371" s="10" t="s">
        <v>77</v>
      </c>
      <c r="Y371" s="10"/>
      <c r="Z371" s="10"/>
      <c r="AB371" s="2" t="str">
        <f t="shared" si="170"/>
        <v xml:space="preserve">/*3*/{" ","","","","",false,false,false,false,10.0,1,2,0,0.0,0.0,0.0,false,false,false,0},//. </v>
      </c>
      <c r="AD371" s="12" t="str">
        <f t="shared" si="163"/>
        <v/>
      </c>
      <c r="AE371" s="12" t="str">
        <f t="shared" si="164"/>
        <v/>
      </c>
      <c r="AH371" s="12" t="str">
        <f t="shared" si="165"/>
        <v/>
      </c>
      <c r="AI371" s="12" t="str">
        <f t="shared" si="166"/>
        <v/>
      </c>
      <c r="AJ371" s="12" t="str">
        <f t="shared" si="167"/>
        <v/>
      </c>
    </row>
    <row r="372" spans="1:36" x14ac:dyDescent="0.25">
      <c r="A372" s="17">
        <f t="shared" si="168"/>
        <v>4</v>
      </c>
      <c r="B372" s="8" t="s">
        <v>30</v>
      </c>
      <c r="C372" s="4" t="s">
        <v>24</v>
      </c>
      <c r="D372" s="5" t="s">
        <v>0</v>
      </c>
      <c r="E372" s="5"/>
      <c r="F372" s="5" t="s">
        <v>1</v>
      </c>
      <c r="G372" s="5" t="s">
        <v>1</v>
      </c>
      <c r="H372" s="17" t="str">
        <f t="shared" si="162"/>
        <v>""</v>
      </c>
      <c r="I372" s="5" t="s">
        <v>46</v>
      </c>
      <c r="J372" s="5" t="s">
        <v>46</v>
      </c>
      <c r="K372" s="5" t="s">
        <v>46</v>
      </c>
      <c r="L372" s="5" t="s">
        <v>46</v>
      </c>
      <c r="M372" s="5" t="s">
        <v>22</v>
      </c>
      <c r="N372" s="8">
        <f t="shared" si="169"/>
        <v>1</v>
      </c>
      <c r="O372" s="5">
        <v>0</v>
      </c>
      <c r="P372" s="5">
        <v>0</v>
      </c>
      <c r="Q372" s="5" t="s">
        <v>23</v>
      </c>
      <c r="R372" s="5" t="s">
        <v>23</v>
      </c>
      <c r="S372" s="5" t="s">
        <v>23</v>
      </c>
      <c r="T372" s="5" t="s">
        <v>46</v>
      </c>
      <c r="U372" s="5" t="s">
        <v>46</v>
      </c>
      <c r="V372" s="5" t="s">
        <v>46</v>
      </c>
      <c r="W372" s="5">
        <v>0</v>
      </c>
      <c r="X372" s="10" t="s">
        <v>77</v>
      </c>
      <c r="Y372" s="10"/>
      <c r="Z372" s="10"/>
      <c r="AB372" s="2" t="str">
        <f t="shared" si="170"/>
        <v xml:space="preserve">/*4*/{" ","","","","",false,false,false,false,10.0,1,0,0,0.0,0.0,0.0,false,false,false,0},//. </v>
      </c>
      <c r="AD372" s="12" t="str">
        <f t="shared" si="163"/>
        <v/>
      </c>
      <c r="AE372" s="12" t="str">
        <f t="shared" si="164"/>
        <v/>
      </c>
      <c r="AH372" s="12" t="str">
        <f t="shared" si="165"/>
        <v/>
      </c>
      <c r="AI372" s="12" t="str">
        <f t="shared" si="166"/>
        <v/>
      </c>
      <c r="AJ372" s="12" t="str">
        <f t="shared" si="167"/>
        <v/>
      </c>
    </row>
    <row r="373" spans="1:36" x14ac:dyDescent="0.25">
      <c r="A373" s="17">
        <f t="shared" si="168"/>
        <v>5</v>
      </c>
      <c r="B373" s="8" t="s">
        <v>31</v>
      </c>
      <c r="C373" s="4" t="s">
        <v>24</v>
      </c>
      <c r="D373" s="5" t="s">
        <v>0</v>
      </c>
      <c r="E373" s="5"/>
      <c r="F373" s="5" t="s">
        <v>1</v>
      </c>
      <c r="G373" s="5" t="s">
        <v>1</v>
      </c>
      <c r="H373" s="17" t="str">
        <f t="shared" si="162"/>
        <v>""</v>
      </c>
      <c r="I373" s="5" t="s">
        <v>46</v>
      </c>
      <c r="J373" s="5" t="s">
        <v>46</v>
      </c>
      <c r="K373" s="5" t="s">
        <v>46</v>
      </c>
      <c r="L373" s="5" t="s">
        <v>46</v>
      </c>
      <c r="M373" s="5" t="s">
        <v>22</v>
      </c>
      <c r="N373" s="8">
        <f t="shared" si="169"/>
        <v>1</v>
      </c>
      <c r="O373" s="5">
        <v>0</v>
      </c>
      <c r="P373" s="5">
        <v>0</v>
      </c>
      <c r="Q373" s="5" t="s">
        <v>23</v>
      </c>
      <c r="R373" s="5" t="s">
        <v>23</v>
      </c>
      <c r="S373" s="5" t="s">
        <v>23</v>
      </c>
      <c r="T373" s="5" t="s">
        <v>46</v>
      </c>
      <c r="U373" s="5" t="s">
        <v>46</v>
      </c>
      <c r="V373" s="5" t="s">
        <v>46</v>
      </c>
      <c r="W373" s="5">
        <v>0</v>
      </c>
      <c r="X373" s="10" t="s">
        <v>77</v>
      </c>
      <c r="Y373" s="10"/>
      <c r="Z373" s="10"/>
      <c r="AB373" s="2" t="str">
        <f t="shared" si="170"/>
        <v xml:space="preserve">/*5*/{" ","","","","",false,false,false,false,10.0,1,0,0,0.0,0.0,0.0,false,false,false,0},//. </v>
      </c>
      <c r="AD373" s="12" t="str">
        <f t="shared" si="163"/>
        <v/>
      </c>
      <c r="AE373" s="12" t="str">
        <f t="shared" si="164"/>
        <v/>
      </c>
      <c r="AH373" s="12" t="str">
        <f t="shared" si="165"/>
        <v/>
      </c>
      <c r="AI373" s="12" t="str">
        <f t="shared" si="166"/>
        <v/>
      </c>
      <c r="AJ373" s="12" t="str">
        <f t="shared" si="167"/>
        <v/>
      </c>
    </row>
    <row r="374" spans="1:36" x14ac:dyDescent="0.25">
      <c r="A374" s="17">
        <f t="shared" si="168"/>
        <v>6</v>
      </c>
      <c r="B374" s="8" t="s">
        <v>32</v>
      </c>
      <c r="C374" s="4" t="s">
        <v>24</v>
      </c>
      <c r="D374" s="5" t="s">
        <v>0</v>
      </c>
      <c r="E374" s="5"/>
      <c r="F374" s="5" t="s">
        <v>1</v>
      </c>
      <c r="G374" s="5" t="s">
        <v>1</v>
      </c>
      <c r="H374" s="17" t="str">
        <f t="shared" si="162"/>
        <v>""</v>
      </c>
      <c r="I374" s="5" t="s">
        <v>46</v>
      </c>
      <c r="J374" s="5" t="s">
        <v>46</v>
      </c>
      <c r="K374" s="5" t="s">
        <v>46</v>
      </c>
      <c r="L374" s="5" t="s">
        <v>46</v>
      </c>
      <c r="M374" s="5" t="s">
        <v>22</v>
      </c>
      <c r="N374" s="8">
        <f t="shared" si="169"/>
        <v>1</v>
      </c>
      <c r="O374" s="5">
        <v>0</v>
      </c>
      <c r="P374" s="5">
        <v>0</v>
      </c>
      <c r="Q374" s="5" t="s">
        <v>23</v>
      </c>
      <c r="R374" s="5" t="s">
        <v>23</v>
      </c>
      <c r="S374" s="5" t="s">
        <v>23</v>
      </c>
      <c r="T374" s="5" t="s">
        <v>46</v>
      </c>
      <c r="U374" s="5" t="s">
        <v>46</v>
      </c>
      <c r="V374" s="5" t="s">
        <v>46</v>
      </c>
      <c r="W374" s="5">
        <v>0</v>
      </c>
      <c r="X374" s="10" t="s">
        <v>77</v>
      </c>
      <c r="Y374" s="10"/>
      <c r="Z374" s="10"/>
      <c r="AB374" s="2" t="str">
        <f t="shared" si="170"/>
        <v xml:space="preserve">/*6*/{" ","","","","",false,false,false,false,10.0,1,0,0,0.0,0.0,0.0,false,false,false,0},//. </v>
      </c>
      <c r="AD374" s="12" t="str">
        <f t="shared" si="163"/>
        <v/>
      </c>
      <c r="AE374" s="12" t="str">
        <f t="shared" si="164"/>
        <v/>
      </c>
      <c r="AH374" s="12" t="str">
        <f t="shared" si="165"/>
        <v/>
      </c>
      <c r="AI374" s="12" t="str">
        <f t="shared" si="166"/>
        <v/>
      </c>
      <c r="AJ374" s="12" t="str">
        <f t="shared" si="167"/>
        <v/>
      </c>
    </row>
    <row r="375" spans="1:36" x14ac:dyDescent="0.25">
      <c r="A375" s="17">
        <f t="shared" si="168"/>
        <v>7</v>
      </c>
      <c r="B375" s="8" t="s">
        <v>33</v>
      </c>
      <c r="C375" s="4" t="s">
        <v>24</v>
      </c>
      <c r="D375" s="5" t="s">
        <v>0</v>
      </c>
      <c r="E375" s="5"/>
      <c r="F375" s="5" t="s">
        <v>1</v>
      </c>
      <c r="G375" s="5" t="s">
        <v>1</v>
      </c>
      <c r="H375" s="17" t="str">
        <f t="shared" si="162"/>
        <v>""</v>
      </c>
      <c r="I375" s="5" t="s">
        <v>46</v>
      </c>
      <c r="J375" s="5" t="s">
        <v>46</v>
      </c>
      <c r="K375" s="5" t="s">
        <v>46</v>
      </c>
      <c r="L375" s="5" t="s">
        <v>46</v>
      </c>
      <c r="M375" s="5" t="s">
        <v>22</v>
      </c>
      <c r="N375" s="8">
        <f t="shared" si="169"/>
        <v>1</v>
      </c>
      <c r="O375" s="5">
        <v>0</v>
      </c>
      <c r="P375" s="5">
        <v>0</v>
      </c>
      <c r="Q375" s="5" t="s">
        <v>23</v>
      </c>
      <c r="R375" s="5" t="s">
        <v>23</v>
      </c>
      <c r="S375" s="5" t="s">
        <v>23</v>
      </c>
      <c r="T375" s="5" t="s">
        <v>46</v>
      </c>
      <c r="U375" s="5" t="s">
        <v>46</v>
      </c>
      <c r="V375" s="5" t="s">
        <v>46</v>
      </c>
      <c r="W375" s="5">
        <v>0</v>
      </c>
      <c r="X375" s="10" t="s">
        <v>77</v>
      </c>
      <c r="Y375" s="10"/>
      <c r="Z375" s="10"/>
      <c r="AB375" s="2" t="str">
        <f t="shared" si="170"/>
        <v xml:space="preserve">/*7*/{" ","","","","",false,false,false,false,10.0,1,0,0,0.0,0.0,0.0,false,false,false,0},//. </v>
      </c>
      <c r="AD375" s="12" t="str">
        <f t="shared" si="163"/>
        <v/>
      </c>
      <c r="AE375" s="12" t="str">
        <f t="shared" si="164"/>
        <v/>
      </c>
      <c r="AH375" s="12" t="str">
        <f t="shared" si="165"/>
        <v/>
      </c>
      <c r="AI375" s="12" t="str">
        <f t="shared" si="166"/>
        <v/>
      </c>
      <c r="AJ375" s="12" t="str">
        <f t="shared" si="167"/>
        <v/>
      </c>
    </row>
    <row r="376" spans="1:36" x14ac:dyDescent="0.25">
      <c r="A376" s="17">
        <f t="shared" si="168"/>
        <v>8</v>
      </c>
      <c r="B376" s="8" t="s">
        <v>34</v>
      </c>
      <c r="C376" s="4" t="s">
        <v>24</v>
      </c>
      <c r="D376" s="5" t="s">
        <v>0</v>
      </c>
      <c r="E376" s="5"/>
      <c r="F376" s="5" t="s">
        <v>1</v>
      </c>
      <c r="G376" s="5" t="s">
        <v>1</v>
      </c>
      <c r="H376" s="17" t="str">
        <f t="shared" si="162"/>
        <v>""</v>
      </c>
      <c r="I376" s="5" t="s">
        <v>46</v>
      </c>
      <c r="J376" s="5" t="s">
        <v>46</v>
      </c>
      <c r="K376" s="5" t="s">
        <v>46</v>
      </c>
      <c r="L376" s="5" t="s">
        <v>46</v>
      </c>
      <c r="M376" s="5" t="s">
        <v>22</v>
      </c>
      <c r="N376" s="8">
        <f t="shared" si="169"/>
        <v>1</v>
      </c>
      <c r="O376" s="5">
        <v>0</v>
      </c>
      <c r="P376" s="5">
        <v>0</v>
      </c>
      <c r="Q376" s="5" t="s">
        <v>23</v>
      </c>
      <c r="R376" s="5" t="s">
        <v>23</v>
      </c>
      <c r="S376" s="5" t="s">
        <v>23</v>
      </c>
      <c r="T376" s="5" t="s">
        <v>46</v>
      </c>
      <c r="U376" s="5" t="s">
        <v>46</v>
      </c>
      <c r="V376" s="5" t="s">
        <v>46</v>
      </c>
      <c r="W376" s="5">
        <v>0</v>
      </c>
      <c r="X376" s="10" t="s">
        <v>77</v>
      </c>
      <c r="Y376" s="10"/>
      <c r="Z376" s="10"/>
      <c r="AB376" s="2" t="str">
        <f t="shared" si="170"/>
        <v xml:space="preserve">/*8*/{" ","","","","",false,false,false,false,10.0,1,0,0,0.0,0.0,0.0,false,false,false,0},//. </v>
      </c>
      <c r="AD376" s="12" t="str">
        <f t="shared" si="163"/>
        <v/>
      </c>
      <c r="AE376" s="12" t="str">
        <f t="shared" si="164"/>
        <v/>
      </c>
      <c r="AH376" s="12" t="str">
        <f t="shared" si="165"/>
        <v/>
      </c>
      <c r="AI376" s="12" t="str">
        <f t="shared" si="166"/>
        <v/>
      </c>
      <c r="AJ376" s="12" t="str">
        <f t="shared" si="167"/>
        <v/>
      </c>
    </row>
    <row r="377" spans="1:36" x14ac:dyDescent="0.25">
      <c r="A377" s="17">
        <f t="shared" si="168"/>
        <v>9</v>
      </c>
      <c r="B377" s="8" t="s">
        <v>35</v>
      </c>
      <c r="C377" s="4" t="s">
        <v>24</v>
      </c>
      <c r="D377" s="5" t="s">
        <v>0</v>
      </c>
      <c r="E377" s="5"/>
      <c r="F377" s="5" t="s">
        <v>1</v>
      </c>
      <c r="G377" s="5" t="s">
        <v>1</v>
      </c>
      <c r="H377" s="17" t="str">
        <f t="shared" si="162"/>
        <v>""</v>
      </c>
      <c r="I377" s="5" t="s">
        <v>46</v>
      </c>
      <c r="J377" s="5" t="s">
        <v>46</v>
      </c>
      <c r="K377" s="5" t="s">
        <v>46</v>
      </c>
      <c r="L377" s="5" t="s">
        <v>46</v>
      </c>
      <c r="M377" s="5" t="s">
        <v>22</v>
      </c>
      <c r="N377" s="8">
        <f t="shared" si="169"/>
        <v>1</v>
      </c>
      <c r="O377" s="5">
        <v>0</v>
      </c>
      <c r="P377" s="5">
        <v>0</v>
      </c>
      <c r="Q377" s="5" t="s">
        <v>23</v>
      </c>
      <c r="R377" s="5" t="s">
        <v>23</v>
      </c>
      <c r="S377" s="5" t="s">
        <v>23</v>
      </c>
      <c r="T377" s="5" t="s">
        <v>46</v>
      </c>
      <c r="U377" s="5" t="s">
        <v>46</v>
      </c>
      <c r="V377" s="5" t="s">
        <v>46</v>
      </c>
      <c r="W377" s="5">
        <v>0</v>
      </c>
      <c r="X377" s="10" t="s">
        <v>77</v>
      </c>
      <c r="Y377" s="10"/>
      <c r="Z377" s="10"/>
      <c r="AB377" s="2" t="str">
        <f t="shared" si="170"/>
        <v xml:space="preserve">/*9*/{" ","","","","",false,false,false,false,10.0,1,0,0,0.0,0.0,0.0,false,false,false,0},//. </v>
      </c>
      <c r="AD377" s="12" t="str">
        <f t="shared" si="163"/>
        <v/>
      </c>
      <c r="AE377" s="12" t="str">
        <f t="shared" si="164"/>
        <v/>
      </c>
      <c r="AH377" s="12" t="str">
        <f t="shared" si="165"/>
        <v/>
      </c>
      <c r="AI377" s="12" t="str">
        <f t="shared" si="166"/>
        <v/>
      </c>
      <c r="AJ377" s="12" t="str">
        <f t="shared" si="167"/>
        <v/>
      </c>
    </row>
    <row r="378" spans="1:36" x14ac:dyDescent="0.25">
      <c r="A378" s="17">
        <f t="shared" si="168"/>
        <v>10</v>
      </c>
      <c r="B378" s="8" t="s">
        <v>36</v>
      </c>
      <c r="C378" s="4" t="s">
        <v>24</v>
      </c>
      <c r="D378" s="5" t="s">
        <v>0</v>
      </c>
      <c r="E378" s="5"/>
      <c r="F378" s="5" t="s">
        <v>1</v>
      </c>
      <c r="G378" s="5" t="s">
        <v>1</v>
      </c>
      <c r="H378" s="17" t="str">
        <f t="shared" si="162"/>
        <v>""</v>
      </c>
      <c r="I378" s="5" t="s">
        <v>46</v>
      </c>
      <c r="J378" s="5" t="s">
        <v>46</v>
      </c>
      <c r="K378" s="5" t="s">
        <v>46</v>
      </c>
      <c r="L378" s="5" t="s">
        <v>46</v>
      </c>
      <c r="M378" s="5" t="s">
        <v>22</v>
      </c>
      <c r="N378" s="8">
        <f t="shared" si="169"/>
        <v>1</v>
      </c>
      <c r="O378" s="5">
        <v>0</v>
      </c>
      <c r="P378" s="5">
        <v>0</v>
      </c>
      <c r="Q378" s="5" t="s">
        <v>23</v>
      </c>
      <c r="R378" s="5" t="s">
        <v>23</v>
      </c>
      <c r="S378" s="5" t="s">
        <v>23</v>
      </c>
      <c r="T378" s="5" t="s">
        <v>46</v>
      </c>
      <c r="U378" s="5" t="s">
        <v>46</v>
      </c>
      <c r="V378" s="5" t="s">
        <v>46</v>
      </c>
      <c r="W378" s="5">
        <v>0</v>
      </c>
      <c r="X378" s="10" t="s">
        <v>77</v>
      </c>
      <c r="Y378" s="10"/>
      <c r="Z378" s="10"/>
      <c r="AB378" s="2" t="str">
        <f t="shared" si="170"/>
        <v xml:space="preserve">/*10*/{" ","","","","",false,false,false,false,10.0,1,0,0,0.0,0.0,0.0,false,false,false,0},//. </v>
      </c>
      <c r="AD378" s="12" t="str">
        <f t="shared" si="163"/>
        <v/>
      </c>
      <c r="AE378" s="12" t="str">
        <f t="shared" si="164"/>
        <v/>
      </c>
      <c r="AH378" s="12" t="str">
        <f t="shared" si="165"/>
        <v/>
      </c>
      <c r="AI378" s="12" t="str">
        <f t="shared" si="166"/>
        <v/>
      </c>
      <c r="AJ378" s="12" t="str">
        <f t="shared" si="167"/>
        <v/>
      </c>
    </row>
    <row r="379" spans="1:36" x14ac:dyDescent="0.25">
      <c r="A379" s="17">
        <f t="shared" si="168"/>
        <v>11</v>
      </c>
      <c r="B379" s="8" t="s">
        <v>37</v>
      </c>
      <c r="C379" s="4" t="s">
        <v>24</v>
      </c>
      <c r="D379" s="5" t="s">
        <v>0</v>
      </c>
      <c r="E379" s="5"/>
      <c r="F379" s="5" t="s">
        <v>1</v>
      </c>
      <c r="G379" s="5" t="s">
        <v>1</v>
      </c>
      <c r="H379" s="17" t="str">
        <f t="shared" si="162"/>
        <v>""</v>
      </c>
      <c r="I379" s="5" t="s">
        <v>46</v>
      </c>
      <c r="J379" s="5" t="s">
        <v>46</v>
      </c>
      <c r="K379" s="5" t="s">
        <v>46</v>
      </c>
      <c r="L379" s="5" t="s">
        <v>46</v>
      </c>
      <c r="M379" s="5" t="s">
        <v>22</v>
      </c>
      <c r="N379" s="8">
        <f t="shared" si="169"/>
        <v>1</v>
      </c>
      <c r="O379" s="5">
        <v>0</v>
      </c>
      <c r="P379" s="5">
        <v>0</v>
      </c>
      <c r="Q379" s="5" t="s">
        <v>23</v>
      </c>
      <c r="R379" s="5" t="s">
        <v>23</v>
      </c>
      <c r="S379" s="5" t="s">
        <v>23</v>
      </c>
      <c r="T379" s="5" t="s">
        <v>46</v>
      </c>
      <c r="U379" s="5" t="s">
        <v>46</v>
      </c>
      <c r="V379" s="5" t="s">
        <v>46</v>
      </c>
      <c r="W379" s="5">
        <v>0</v>
      </c>
      <c r="X379" s="10" t="s">
        <v>77</v>
      </c>
      <c r="Y379" s="10"/>
      <c r="Z379" s="10"/>
      <c r="AB379" s="2" t="str">
        <f t="shared" si="170"/>
        <v xml:space="preserve">/*11*/{" ","","","","",false,false,false,false,10.0,1,0,0,0.0,0.0,0.0,false,false,false,0},//. </v>
      </c>
      <c r="AD379" s="12" t="str">
        <f t="shared" si="163"/>
        <v/>
      </c>
      <c r="AE379" s="12" t="str">
        <f t="shared" si="164"/>
        <v/>
      </c>
      <c r="AH379" s="12" t="str">
        <f t="shared" si="165"/>
        <v/>
      </c>
      <c r="AI379" s="12" t="str">
        <f t="shared" si="166"/>
        <v/>
      </c>
      <c r="AJ379" s="12" t="str">
        <f t="shared" si="167"/>
        <v/>
      </c>
    </row>
    <row r="380" spans="1:36" x14ac:dyDescent="0.25">
      <c r="A380" s="17">
        <f t="shared" si="168"/>
        <v>12</v>
      </c>
      <c r="B380" s="8" t="s">
        <v>38</v>
      </c>
      <c r="C380" s="4" t="s">
        <v>24</v>
      </c>
      <c r="D380" s="5" t="s">
        <v>0</v>
      </c>
      <c r="E380" s="5"/>
      <c r="F380" s="5" t="s">
        <v>1</v>
      </c>
      <c r="G380" s="5" t="s">
        <v>1</v>
      </c>
      <c r="H380" s="17" t="str">
        <f t="shared" si="162"/>
        <v>""</v>
      </c>
      <c r="I380" s="5" t="s">
        <v>46</v>
      </c>
      <c r="J380" s="5" t="s">
        <v>46</v>
      </c>
      <c r="K380" s="5" t="s">
        <v>46</v>
      </c>
      <c r="L380" s="5" t="s">
        <v>46</v>
      </c>
      <c r="M380" s="5" t="s">
        <v>22</v>
      </c>
      <c r="N380" s="8">
        <f t="shared" si="169"/>
        <v>1</v>
      </c>
      <c r="O380" s="5">
        <v>0</v>
      </c>
      <c r="P380" s="5">
        <v>0</v>
      </c>
      <c r="Q380" s="5" t="s">
        <v>23</v>
      </c>
      <c r="R380" s="5" t="s">
        <v>23</v>
      </c>
      <c r="S380" s="5" t="s">
        <v>23</v>
      </c>
      <c r="T380" s="5" t="s">
        <v>46</v>
      </c>
      <c r="U380" s="5" t="s">
        <v>46</v>
      </c>
      <c r="V380" s="5" t="s">
        <v>46</v>
      </c>
      <c r="W380" s="5">
        <v>0</v>
      </c>
      <c r="X380" s="10" t="s">
        <v>77</v>
      </c>
      <c r="Y380" s="10"/>
      <c r="Z380" s="10"/>
      <c r="AB380" s="2" t="str">
        <f t="shared" si="170"/>
        <v xml:space="preserve">/*12*/{" ","","","","",false,false,false,false,10.0,1,0,0,0.0,0.0,0.0,false,false,false,0},//. </v>
      </c>
      <c r="AD380" s="12" t="str">
        <f t="shared" si="163"/>
        <v/>
      </c>
      <c r="AE380" s="12" t="str">
        <f t="shared" si="164"/>
        <v/>
      </c>
      <c r="AH380" s="12" t="str">
        <f t="shared" si="165"/>
        <v/>
      </c>
      <c r="AI380" s="12" t="str">
        <f t="shared" si="166"/>
        <v/>
      </c>
      <c r="AJ380" s="12" t="str">
        <f t="shared" si="167"/>
        <v/>
      </c>
    </row>
    <row r="381" spans="1:36" x14ac:dyDescent="0.25">
      <c r="A381" s="17">
        <f t="shared" si="168"/>
        <v>13</v>
      </c>
      <c r="B381" s="8" t="s">
        <v>39</v>
      </c>
      <c r="C381" s="4" t="s">
        <v>24</v>
      </c>
      <c r="D381" s="5" t="s">
        <v>0</v>
      </c>
      <c r="E381" s="5"/>
      <c r="F381" s="5" t="s">
        <v>1</v>
      </c>
      <c r="G381" s="5" t="s">
        <v>1</v>
      </c>
      <c r="H381" s="17" t="str">
        <f t="shared" si="162"/>
        <v>""</v>
      </c>
      <c r="I381" s="5" t="s">
        <v>46</v>
      </c>
      <c r="J381" s="5" t="s">
        <v>46</v>
      </c>
      <c r="K381" s="5" t="s">
        <v>46</v>
      </c>
      <c r="L381" s="5" t="s">
        <v>46</v>
      </c>
      <c r="M381" s="5" t="s">
        <v>22</v>
      </c>
      <c r="N381" s="8">
        <f t="shared" si="169"/>
        <v>1</v>
      </c>
      <c r="O381" s="5">
        <v>0</v>
      </c>
      <c r="P381" s="5">
        <v>0</v>
      </c>
      <c r="Q381" s="5" t="s">
        <v>23</v>
      </c>
      <c r="R381" s="5" t="s">
        <v>23</v>
      </c>
      <c r="S381" s="5" t="s">
        <v>23</v>
      </c>
      <c r="T381" s="5" t="s">
        <v>46</v>
      </c>
      <c r="U381" s="5" t="s">
        <v>46</v>
      </c>
      <c r="V381" s="5" t="s">
        <v>46</v>
      </c>
      <c r="W381" s="5">
        <v>0</v>
      </c>
      <c r="X381" s="10" t="s">
        <v>77</v>
      </c>
      <c r="Y381" s="10"/>
      <c r="Z381" s="10"/>
      <c r="AB381" s="2" t="str">
        <f t="shared" si="170"/>
        <v xml:space="preserve">/*13*/{" ","","","","",false,false,false,false,10.0,1,0,0,0.0,0.0,0.0,false,false,false,0},//. </v>
      </c>
      <c r="AD381" s="12" t="str">
        <f t="shared" si="163"/>
        <v/>
      </c>
      <c r="AE381" s="12" t="str">
        <f t="shared" si="164"/>
        <v/>
      </c>
      <c r="AH381" s="12" t="str">
        <f t="shared" si="165"/>
        <v/>
      </c>
      <c r="AI381" s="12" t="str">
        <f t="shared" si="166"/>
        <v/>
      </c>
      <c r="AJ381" s="12" t="str">
        <f t="shared" si="167"/>
        <v/>
      </c>
    </row>
    <row r="382" spans="1:36" x14ac:dyDescent="0.25">
      <c r="A382" s="17">
        <f t="shared" si="168"/>
        <v>14</v>
      </c>
      <c r="B382" s="8" t="s">
        <v>40</v>
      </c>
      <c r="C382" s="4" t="s">
        <v>24</v>
      </c>
      <c r="D382" s="5" t="s">
        <v>0</v>
      </c>
      <c r="E382" s="5"/>
      <c r="F382" s="5" t="s">
        <v>1</v>
      </c>
      <c r="G382" s="5" t="s">
        <v>1</v>
      </c>
      <c r="H382" s="17" t="str">
        <f t="shared" si="162"/>
        <v>""</v>
      </c>
      <c r="I382" s="5" t="s">
        <v>46</v>
      </c>
      <c r="J382" s="5" t="s">
        <v>46</v>
      </c>
      <c r="K382" s="5" t="s">
        <v>46</v>
      </c>
      <c r="L382" s="5" t="s">
        <v>46</v>
      </c>
      <c r="M382" s="5" t="s">
        <v>22</v>
      </c>
      <c r="N382" s="8">
        <f t="shared" si="169"/>
        <v>1</v>
      </c>
      <c r="O382" s="5">
        <v>0</v>
      </c>
      <c r="P382" s="5">
        <v>0</v>
      </c>
      <c r="Q382" s="5" t="s">
        <v>23</v>
      </c>
      <c r="R382" s="5" t="s">
        <v>23</v>
      </c>
      <c r="S382" s="5" t="s">
        <v>23</v>
      </c>
      <c r="T382" s="5" t="s">
        <v>46</v>
      </c>
      <c r="U382" s="5" t="s">
        <v>46</v>
      </c>
      <c r="V382" s="5" t="s">
        <v>46</v>
      </c>
      <c r="W382" s="5">
        <v>0</v>
      </c>
      <c r="X382" s="10" t="s">
        <v>77</v>
      </c>
      <c r="Y382" s="10"/>
      <c r="Z382" s="10"/>
      <c r="AB382" s="2" t="str">
        <f t="shared" si="170"/>
        <v xml:space="preserve">/*14*/{" ","","","","",false,false,false,false,10.0,1,0,0,0.0,0.0,0.0,false,false,false,0},//. </v>
      </c>
      <c r="AD382" s="12" t="str">
        <f t="shared" si="163"/>
        <v/>
      </c>
      <c r="AE382" s="12" t="str">
        <f t="shared" si="164"/>
        <v/>
      </c>
      <c r="AH382" s="12" t="str">
        <f t="shared" si="165"/>
        <v/>
      </c>
      <c r="AI382" s="12" t="str">
        <f t="shared" si="166"/>
        <v/>
      </c>
      <c r="AJ382" s="12" t="str">
        <f t="shared" si="167"/>
        <v/>
      </c>
    </row>
    <row r="383" spans="1:36" x14ac:dyDescent="0.25">
      <c r="A383" s="17">
        <f t="shared" si="168"/>
        <v>15</v>
      </c>
      <c r="B383" s="8" t="s">
        <v>41</v>
      </c>
      <c r="C383" s="4" t="s">
        <v>24</v>
      </c>
      <c r="D383" s="5" t="s">
        <v>0</v>
      </c>
      <c r="E383" s="5"/>
      <c r="F383" s="5" t="s">
        <v>1</v>
      </c>
      <c r="G383" s="5" t="s">
        <v>1</v>
      </c>
      <c r="H383" s="17" t="str">
        <f t="shared" si="162"/>
        <v>""</v>
      </c>
      <c r="I383" s="5" t="s">
        <v>46</v>
      </c>
      <c r="J383" s="5" t="s">
        <v>46</v>
      </c>
      <c r="K383" s="5" t="s">
        <v>46</v>
      </c>
      <c r="L383" s="5" t="s">
        <v>46</v>
      </c>
      <c r="M383" s="5" t="s">
        <v>22</v>
      </c>
      <c r="N383" s="8">
        <f t="shared" si="169"/>
        <v>1</v>
      </c>
      <c r="O383" s="5">
        <v>0</v>
      </c>
      <c r="P383" s="5">
        <v>0</v>
      </c>
      <c r="Q383" s="5" t="s">
        <v>23</v>
      </c>
      <c r="R383" s="5" t="s">
        <v>23</v>
      </c>
      <c r="S383" s="5" t="s">
        <v>23</v>
      </c>
      <c r="T383" s="5" t="s">
        <v>46</v>
      </c>
      <c r="U383" s="5" t="s">
        <v>46</v>
      </c>
      <c r="V383" s="5" t="s">
        <v>46</v>
      </c>
      <c r="W383" s="5">
        <v>0</v>
      </c>
      <c r="X383" s="10" t="s">
        <v>77</v>
      </c>
      <c r="Y383" s="10"/>
      <c r="Z383" s="10"/>
      <c r="AB383" s="2" t="str">
        <f t="shared" si="170"/>
        <v xml:space="preserve">/*15*/{" ","","","","",false,false,false,false,10.0,1,0,0,0.0,0.0,0.0,false,false,false,0},//. </v>
      </c>
      <c r="AD383" s="12" t="str">
        <f t="shared" si="163"/>
        <v/>
      </c>
      <c r="AE383" s="12" t="str">
        <f t="shared" si="164"/>
        <v/>
      </c>
      <c r="AH383" s="12" t="str">
        <f t="shared" si="165"/>
        <v/>
      </c>
      <c r="AI383" s="12" t="str">
        <f t="shared" si="166"/>
        <v/>
      </c>
      <c r="AJ383" s="12" t="str">
        <f t="shared" si="167"/>
        <v/>
      </c>
    </row>
    <row r="384" spans="1:36" x14ac:dyDescent="0.25">
      <c r="A384" s="17">
        <f t="shared" si="168"/>
        <v>16</v>
      </c>
      <c r="B384" s="8" t="s">
        <v>42</v>
      </c>
      <c r="C384" s="4" t="s">
        <v>24</v>
      </c>
      <c r="D384" s="5" t="s">
        <v>0</v>
      </c>
      <c r="E384" s="5"/>
      <c r="F384" s="5" t="s">
        <v>1</v>
      </c>
      <c r="G384" s="5" t="s">
        <v>1</v>
      </c>
      <c r="H384" s="17" t="str">
        <f t="shared" si="162"/>
        <v>""</v>
      </c>
      <c r="I384" s="5" t="s">
        <v>46</v>
      </c>
      <c r="J384" s="5" t="s">
        <v>46</v>
      </c>
      <c r="K384" s="5" t="s">
        <v>46</v>
      </c>
      <c r="L384" s="5" t="s">
        <v>46</v>
      </c>
      <c r="M384" s="5" t="s">
        <v>22</v>
      </c>
      <c r="N384" s="8">
        <f t="shared" si="169"/>
        <v>1</v>
      </c>
      <c r="O384" s="5">
        <v>0</v>
      </c>
      <c r="P384" s="5">
        <v>0</v>
      </c>
      <c r="Q384" s="5" t="s">
        <v>23</v>
      </c>
      <c r="R384" s="5" t="s">
        <v>23</v>
      </c>
      <c r="S384" s="5" t="s">
        <v>23</v>
      </c>
      <c r="T384" s="5" t="s">
        <v>46</v>
      </c>
      <c r="U384" s="5" t="s">
        <v>46</v>
      </c>
      <c r="V384" s="5" t="s">
        <v>46</v>
      </c>
      <c r="W384" s="5">
        <v>0</v>
      </c>
      <c r="X384" s="10" t="s">
        <v>77</v>
      </c>
      <c r="Y384" s="10"/>
      <c r="Z384" s="10"/>
      <c r="AB384" s="2" t="str">
        <f t="shared" si="170"/>
        <v xml:space="preserve">/*16*/{" ","","","","",false,false,false,false,10.0,1,0,0,0.0,0.0,0.0,false,false,false,0},//. </v>
      </c>
      <c r="AD384" s="12" t="str">
        <f t="shared" si="163"/>
        <v/>
      </c>
      <c r="AE384" s="12" t="str">
        <f t="shared" si="164"/>
        <v/>
      </c>
      <c r="AH384" s="12" t="str">
        <f t="shared" si="165"/>
        <v/>
      </c>
      <c r="AI384" s="12" t="str">
        <f t="shared" si="166"/>
        <v/>
      </c>
      <c r="AJ384" s="12" t="str">
        <f t="shared" si="167"/>
        <v/>
      </c>
    </row>
    <row r="385" spans="1:36" x14ac:dyDescent="0.25">
      <c r="A385" s="17">
        <f t="shared" si="168"/>
        <v>17</v>
      </c>
      <c r="B385" s="8" t="s">
        <v>43</v>
      </c>
      <c r="C385" s="4" t="s">
        <v>24</v>
      </c>
      <c r="D385" s="5" t="s">
        <v>0</v>
      </c>
      <c r="E385" s="5"/>
      <c r="F385" s="5" t="s">
        <v>1</v>
      </c>
      <c r="G385" s="5" t="s">
        <v>1</v>
      </c>
      <c r="H385" s="17" t="str">
        <f t="shared" si="162"/>
        <v>""</v>
      </c>
      <c r="I385" s="5" t="s">
        <v>46</v>
      </c>
      <c r="J385" s="5" t="s">
        <v>46</v>
      </c>
      <c r="K385" s="5" t="s">
        <v>46</v>
      </c>
      <c r="L385" s="5" t="s">
        <v>46</v>
      </c>
      <c r="M385" s="5" t="s">
        <v>22</v>
      </c>
      <c r="N385" s="8">
        <f t="shared" si="169"/>
        <v>1</v>
      </c>
      <c r="O385" s="5">
        <v>0</v>
      </c>
      <c r="P385" s="5">
        <v>0</v>
      </c>
      <c r="Q385" s="5" t="s">
        <v>23</v>
      </c>
      <c r="R385" s="5" t="s">
        <v>23</v>
      </c>
      <c r="S385" s="5" t="s">
        <v>23</v>
      </c>
      <c r="T385" s="5" t="s">
        <v>46</v>
      </c>
      <c r="U385" s="5" t="s">
        <v>46</v>
      </c>
      <c r="V385" s="5" t="s">
        <v>46</v>
      </c>
      <c r="W385" s="5">
        <v>0</v>
      </c>
      <c r="X385" s="10" t="s">
        <v>77</v>
      </c>
      <c r="Y385" s="10"/>
      <c r="Z385" s="10"/>
      <c r="AB385" s="2" t="str">
        <f t="shared" si="170"/>
        <v xml:space="preserve">/*17*/{" ","","","","",false,false,false,false,10.0,1,0,0,0.0,0.0,0.0,false,false,false,0},//. </v>
      </c>
      <c r="AD385" s="12" t="str">
        <f t="shared" si="163"/>
        <v/>
      </c>
      <c r="AE385" s="12" t="str">
        <f t="shared" si="164"/>
        <v/>
      </c>
      <c r="AH385" s="12" t="str">
        <f t="shared" si="165"/>
        <v/>
      </c>
      <c r="AI385" s="12" t="str">
        <f t="shared" si="166"/>
        <v/>
      </c>
      <c r="AJ385" s="12" t="str">
        <f t="shared" si="167"/>
        <v/>
      </c>
    </row>
    <row r="386" spans="1:36" x14ac:dyDescent="0.25">
      <c r="A386" s="17">
        <f t="shared" si="168"/>
        <v>18</v>
      </c>
      <c r="B386" s="8" t="s">
        <v>44</v>
      </c>
      <c r="C386" s="4" t="s">
        <v>24</v>
      </c>
      <c r="D386" s="5" t="s">
        <v>0</v>
      </c>
      <c r="E386" s="5"/>
      <c r="F386" s="5" t="s">
        <v>1</v>
      </c>
      <c r="G386" s="5" t="s">
        <v>1</v>
      </c>
      <c r="H386" s="17" t="str">
        <f t="shared" si="162"/>
        <v>""</v>
      </c>
      <c r="I386" s="5" t="s">
        <v>46</v>
      </c>
      <c r="J386" s="5" t="s">
        <v>46</v>
      </c>
      <c r="K386" s="5" t="s">
        <v>46</v>
      </c>
      <c r="L386" s="5" t="s">
        <v>46</v>
      </c>
      <c r="M386" s="5" t="s">
        <v>22</v>
      </c>
      <c r="N386" s="8">
        <f t="shared" si="169"/>
        <v>1</v>
      </c>
      <c r="O386" s="5">
        <v>0</v>
      </c>
      <c r="P386" s="5">
        <v>0</v>
      </c>
      <c r="Q386" s="5" t="s">
        <v>23</v>
      </c>
      <c r="R386" s="5" t="s">
        <v>23</v>
      </c>
      <c r="S386" s="5" t="s">
        <v>23</v>
      </c>
      <c r="T386" s="5" t="s">
        <v>46</v>
      </c>
      <c r="U386" s="5" t="s">
        <v>46</v>
      </c>
      <c r="V386" s="5" t="s">
        <v>46</v>
      </c>
      <c r="W386" s="5">
        <v>0</v>
      </c>
      <c r="X386" s="10" t="s">
        <v>77</v>
      </c>
      <c r="Y386" s="10"/>
      <c r="Z386" s="10"/>
      <c r="AB386" s="2" t="str">
        <f t="shared" si="170"/>
        <v xml:space="preserve">/*18*/{" ","","","","",false,false,false,false,10.0,1,0,0,0.0,0.0,0.0,false,false,false,0},//. </v>
      </c>
      <c r="AD386" s="12" t="str">
        <f t="shared" si="163"/>
        <v/>
      </c>
      <c r="AE386" s="12" t="str">
        <f t="shared" si="164"/>
        <v/>
      </c>
      <c r="AH386" s="12" t="str">
        <f t="shared" si="165"/>
        <v/>
      </c>
      <c r="AI386" s="12" t="str">
        <f t="shared" si="166"/>
        <v/>
      </c>
      <c r="AJ386" s="12" t="str">
        <f t="shared" si="167"/>
        <v/>
      </c>
    </row>
    <row r="387" spans="1:36" x14ac:dyDescent="0.25">
      <c r="A387" s="17">
        <f t="shared" si="168"/>
        <v>19</v>
      </c>
      <c r="B387" s="8" t="s">
        <v>45</v>
      </c>
      <c r="C387" s="4" t="s">
        <v>24</v>
      </c>
      <c r="D387" s="5" t="s">
        <v>0</v>
      </c>
      <c r="E387" s="5"/>
      <c r="F387" s="5" t="s">
        <v>1</v>
      </c>
      <c r="G387" s="5" t="s">
        <v>1</v>
      </c>
      <c r="H387" s="17" t="str">
        <f t="shared" si="162"/>
        <v>""</v>
      </c>
      <c r="I387" s="5" t="s">
        <v>46</v>
      </c>
      <c r="J387" s="5" t="s">
        <v>46</v>
      </c>
      <c r="K387" s="5" t="s">
        <v>46</v>
      </c>
      <c r="L387" s="5" t="s">
        <v>46</v>
      </c>
      <c r="M387" s="5" t="s">
        <v>22</v>
      </c>
      <c r="N387" s="8">
        <f t="shared" si="169"/>
        <v>1</v>
      </c>
      <c r="O387" s="5">
        <v>0</v>
      </c>
      <c r="P387" s="5">
        <v>0</v>
      </c>
      <c r="Q387" s="5" t="s">
        <v>23</v>
      </c>
      <c r="R387" s="5" t="s">
        <v>23</v>
      </c>
      <c r="S387" s="5" t="s">
        <v>23</v>
      </c>
      <c r="T387" s="5" t="s">
        <v>46</v>
      </c>
      <c r="U387" s="5" t="s">
        <v>46</v>
      </c>
      <c r="V387" s="5" t="s">
        <v>46</v>
      </c>
      <c r="W387" s="5">
        <v>0</v>
      </c>
      <c r="X387" s="10" t="s">
        <v>77</v>
      </c>
      <c r="Y387" s="10"/>
      <c r="Z387" s="10"/>
      <c r="AB387" s="2" t="str">
        <f t="shared" si="170"/>
        <v xml:space="preserve">/*19*/{" ","","","","",false,false,false,false,10.0,1,0,0,0.0,0.0,0.0,false,false,false,0},//. </v>
      </c>
      <c r="AD387" s="12" t="str">
        <f>IF(X387="Да",CONCATENATE("float &amp;",SUBSTITUTE(Z387," ","")," = Screens[",$A$341,"][",A387,"].Param;// Ссылка. ",$Y$32,". ",Y387),"")</f>
        <v/>
      </c>
      <c r="AE387" s="12" t="str">
        <f>IF(X387="Да",CONCATENATE("float ",SUBSTITUTE(Z387," ","")," = Screens[",$A$341,"][",A387,"].Param;//",$Y$32,". ",Y387),"")</f>
        <v/>
      </c>
      <c r="AH387" s="12" t="str">
        <f>IF(X387="Да",CONCATENATE("Ref.",,SUBSTITUTE(Z387," ","")," = ",$AI$1,$B$341,SUBSTITUTE(E387," ",""),";//",$Y$32,". ",Y387),"")</f>
        <v/>
      </c>
      <c r="AI387" s="12" t="str">
        <f t="shared" si="166"/>
        <v/>
      </c>
      <c r="AJ387" s="12" t="str">
        <f t="shared" ref="AJ387" si="171">IF(X387="Да",CONCATENATE($AI$1,SUBSTITUTE(Z387," ","")," = ",M387,";//",$Y$32,". ",Y387),"")</f>
        <v/>
      </c>
    </row>
    <row r="388" spans="1:36" x14ac:dyDescent="0.25">
      <c r="C388" s="21"/>
      <c r="D388" s="21"/>
      <c r="E388" s="5"/>
      <c r="AB388" s="3" t="s">
        <v>25</v>
      </c>
    </row>
    <row r="389" spans="1:36" x14ac:dyDescent="0.25">
      <c r="A389" s="14">
        <f>A365+1</f>
        <v>16</v>
      </c>
      <c r="D389" s="7" t="s">
        <v>70</v>
      </c>
      <c r="AB389" s="3" t="s">
        <v>51</v>
      </c>
    </row>
    <row r="390" spans="1:36" ht="45" x14ac:dyDescent="0.25">
      <c r="A390" s="15" t="s">
        <v>78</v>
      </c>
      <c r="B390" s="18"/>
      <c r="C390" s="6" t="s">
        <v>25</v>
      </c>
      <c r="D390" s="6" t="s">
        <v>17</v>
      </c>
      <c r="E390" s="6" t="s">
        <v>18</v>
      </c>
      <c r="F390" s="6" t="s">
        <v>19</v>
      </c>
      <c r="G390" s="6" t="s">
        <v>20</v>
      </c>
      <c r="H390" s="6" t="s">
        <v>21</v>
      </c>
      <c r="I390" s="6" t="s">
        <v>2</v>
      </c>
      <c r="J390" s="6" t="s">
        <v>3</v>
      </c>
      <c r="K390" s="6" t="s">
        <v>4</v>
      </c>
      <c r="L390" s="6" t="s">
        <v>5</v>
      </c>
      <c r="M390" s="6" t="s">
        <v>6</v>
      </c>
      <c r="N390" s="6" t="s">
        <v>7</v>
      </c>
      <c r="O390" s="6" t="s">
        <v>8</v>
      </c>
      <c r="P390" s="6" t="s">
        <v>9</v>
      </c>
      <c r="Q390" s="6" t="s">
        <v>10</v>
      </c>
      <c r="R390" s="6" t="s">
        <v>11</v>
      </c>
      <c r="S390" s="6" t="s">
        <v>12</v>
      </c>
      <c r="T390" s="6" t="s">
        <v>13</v>
      </c>
      <c r="U390" s="6" t="s">
        <v>14</v>
      </c>
      <c r="V390" s="6" t="s">
        <v>15</v>
      </c>
      <c r="W390" s="6" t="s">
        <v>16</v>
      </c>
      <c r="X390" s="6" t="s">
        <v>76</v>
      </c>
      <c r="Y390" s="6" t="s">
        <v>80</v>
      </c>
      <c r="Z390" s="6" t="s">
        <v>97</v>
      </c>
      <c r="AA390" s="1"/>
      <c r="AB390" s="2" t="str">
        <f>CONCATENATE(D389," - ",E392)</f>
        <v xml:space="preserve">//Экран 16 - </v>
      </c>
    </row>
    <row r="391" spans="1:36" x14ac:dyDescent="0.25">
      <c r="A391" s="16"/>
      <c r="B391" s="13"/>
      <c r="C391" s="4" t="s">
        <v>24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11"/>
      <c r="Y391" s="11"/>
      <c r="Z391" s="11"/>
      <c r="AA391" s="1"/>
      <c r="AB391" s="3" t="str">
        <f>C391</f>
        <v>{</v>
      </c>
    </row>
    <row r="392" spans="1:36" x14ac:dyDescent="0.25">
      <c r="A392" s="17">
        <v>0</v>
      </c>
      <c r="B392" s="8" t="s">
        <v>27</v>
      </c>
      <c r="C392" s="4" t="s">
        <v>24</v>
      </c>
      <c r="D392" s="5" t="s">
        <v>0</v>
      </c>
      <c r="E392" s="5"/>
      <c r="F392" s="5" t="s">
        <v>1</v>
      </c>
      <c r="G392" s="5" t="s">
        <v>1</v>
      </c>
      <c r="H392" s="17" t="str">
        <f t="shared" ref="H392:H411" si="172">IF(AND(I392="true",J392="false"),""" ""","""""")</f>
        <v>""</v>
      </c>
      <c r="I392" s="5" t="s">
        <v>46</v>
      </c>
      <c r="J392" s="5" t="s">
        <v>46</v>
      </c>
      <c r="K392" s="5" t="s">
        <v>46</v>
      </c>
      <c r="L392" s="5" t="s">
        <v>47</v>
      </c>
      <c r="M392" s="5" t="s">
        <v>22</v>
      </c>
      <c r="N392" s="8">
        <v>1</v>
      </c>
      <c r="O392" s="5">
        <v>0</v>
      </c>
      <c r="P392" s="5">
        <v>0</v>
      </c>
      <c r="Q392" s="5" t="s">
        <v>48</v>
      </c>
      <c r="R392" s="5" t="s">
        <v>23</v>
      </c>
      <c r="S392" s="5" t="s">
        <v>49</v>
      </c>
      <c r="T392" s="5" t="s">
        <v>46</v>
      </c>
      <c r="U392" s="5" t="s">
        <v>46</v>
      </c>
      <c r="V392" s="5" t="s">
        <v>46</v>
      </c>
      <c r="W392" s="5">
        <v>0</v>
      </c>
      <c r="X392" s="10" t="s">
        <v>77</v>
      </c>
      <c r="Y392" s="10"/>
      <c r="Z392" s="10"/>
      <c r="AB392" s="2" t="str">
        <f>CONCATENATE(B392,C392,D392,",""",E392,""",",F392,",",G392,",",H392,",",I392,",",J392,",",K392,",",L392,",",M392,",",N392,",",O392,",",P392,",",Q392,",",R392,",",S392,",",T392,",",U392,",",V392,",",W392,"},//",Y392)</f>
        <v>/*0*/{" ","","","","",false,false,false,true,10.0,1,0,0,100.0,0.0,0.1,false,false,false,0},//</v>
      </c>
      <c r="AD392" s="12" t="str">
        <f t="shared" ref="AD392:AD395" si="173">IF(X392="Да",CONCATENATE("float &amp;",SUBSTITUTE(Z392," ","")," = Screens[",$A$29,"][",A392,"].Param;// Ссылка. ",$Y$32,". ",Y392),"")</f>
        <v/>
      </c>
      <c r="AE392" s="12" t="str">
        <f t="shared" ref="AE392" si="174">IF(X392="Да",CONCATENATE("float ",SUBSTITUTE(Z392," ","")," = Screens[",$A$29,"][",A392,"].Param;//",$Y$32,". ",Y392),"")</f>
        <v/>
      </c>
      <c r="AH392" s="12" t="str">
        <f t="shared" ref="AH392" si="175">IF(X392="Да",CONCATENATE("Ref.",,SUBSTITUTE(Z392," ","")," = ",$AI$1,SUBSTITUTE(Z392," ",""),";//",$Y$32,". ",Y392),"")</f>
        <v/>
      </c>
      <c r="AI392" s="12" t="str">
        <f t="shared" ref="AI392" si="176">IF(X392="Да",CONCATENATE($AI$1,SUBSTITUTE(Z392," ","")," = Ref.",SUBSTITUTE(Z392," ",""),";//",$Y$32,". ",Y392),"")</f>
        <v/>
      </c>
      <c r="AJ392" s="12" t="str">
        <f t="shared" ref="AJ392" si="177">IF(X392="Да",CONCATENATE($AI$1,SUBSTITUTE(Z392," ","")," = ",M392,";//",$Y$32,". ",Y392),"")</f>
        <v/>
      </c>
    </row>
    <row r="393" spans="1:36" x14ac:dyDescent="0.25">
      <c r="A393" s="17">
        <f>A392+1</f>
        <v>1</v>
      </c>
      <c r="B393" s="8" t="s">
        <v>26</v>
      </c>
      <c r="C393" s="4" t="s">
        <v>24</v>
      </c>
      <c r="D393" s="5" t="s">
        <v>0</v>
      </c>
      <c r="E393" s="5"/>
      <c r="F393" s="5" t="s">
        <v>1</v>
      </c>
      <c r="G393" s="5" t="s">
        <v>1</v>
      </c>
      <c r="H393" s="17" t="str">
        <f t="shared" si="172"/>
        <v>""</v>
      </c>
      <c r="I393" s="5" t="s">
        <v>46</v>
      </c>
      <c r="J393" s="5" t="s">
        <v>46</v>
      </c>
      <c r="K393" s="5" t="s">
        <v>46</v>
      </c>
      <c r="L393" s="5" t="s">
        <v>46</v>
      </c>
      <c r="M393" s="5" t="s">
        <v>22</v>
      </c>
      <c r="N393" s="8">
        <f>N392</f>
        <v>1</v>
      </c>
      <c r="O393" s="5">
        <v>0</v>
      </c>
      <c r="P393" s="5">
        <v>0</v>
      </c>
      <c r="Q393" s="5" t="s">
        <v>23</v>
      </c>
      <c r="R393" s="5" t="s">
        <v>23</v>
      </c>
      <c r="S393" s="5" t="s">
        <v>23</v>
      </c>
      <c r="T393" s="5" t="s">
        <v>46</v>
      </c>
      <c r="U393" s="5" t="s">
        <v>46</v>
      </c>
      <c r="V393" s="5" t="s">
        <v>46</v>
      </c>
      <c r="W393" s="5">
        <v>0</v>
      </c>
      <c r="X393" s="10" t="s">
        <v>77</v>
      </c>
      <c r="Y393" s="10"/>
      <c r="Z393" s="10"/>
      <c r="AB393" s="2" t="str">
        <f>CONCATENATE(B393,C393,D393,",""",E393,""",",F393,",",G393,",",H393,",",I393,",",J393,",",K393,",",L393,",",M393,",",N393,",",O393,",",P393,",",Q393,",",R393,",",S393,",",T393,",",U393,",",V393,",",W393,"},//",Y392,Y393)</f>
        <v>/*1*/{" ","","","","",false,false,false,false,10.0,1,0,0,0.0,0.0,0.0,false,false,false,0},//</v>
      </c>
      <c r="AD393" s="12" t="str">
        <f t="shared" si="173"/>
        <v/>
      </c>
      <c r="AE393" s="12" t="str">
        <f>IF(X393="Да",CONCATENATE("float ",SUBSTITUTE(Z393," ","")," = Screens[",$A$29,"][",A393,"].Param;//",$Y$32,". ",Y393),"")</f>
        <v/>
      </c>
      <c r="AH393" s="12" t="str">
        <f>IF(X393="Да",CONCATENATE("Ref.",,SUBSTITUTE(Z393," ","")," = ",$AI$1,SUBSTITUTE(Z393," ",""),";//",$Y$32,". ",Y393),"")</f>
        <v/>
      </c>
      <c r="AI393" s="12" t="str">
        <f>IF(X393="Да",CONCATENATE($AI$1,SUBSTITUTE(Z393," ","")," = Ref.",SUBSTITUTE(Z393," ",""),";//",$Y$32,". ",Y393),"")</f>
        <v/>
      </c>
      <c r="AJ393" s="12" t="str">
        <f>IF(X393="Да",CONCATENATE($AI$1,SUBSTITUTE(Z393," ","")," = ",M393,";//",$Y$32,". ",Y393),"")</f>
        <v/>
      </c>
    </row>
    <row r="394" spans="1:36" x14ac:dyDescent="0.25">
      <c r="A394" s="17">
        <f t="shared" ref="A394:A411" si="178">A393+1</f>
        <v>2</v>
      </c>
      <c r="B394" s="8" t="s">
        <v>28</v>
      </c>
      <c r="C394" s="4" t="s">
        <v>24</v>
      </c>
      <c r="D394" s="5" t="s">
        <v>0</v>
      </c>
      <c r="E394" s="5"/>
      <c r="F394" s="5" t="s">
        <v>1</v>
      </c>
      <c r="G394" s="5" t="s">
        <v>1</v>
      </c>
      <c r="H394" s="17" t="str">
        <f t="shared" si="172"/>
        <v>""</v>
      </c>
      <c r="I394" s="5" t="s">
        <v>46</v>
      </c>
      <c r="J394" s="5" t="s">
        <v>46</v>
      </c>
      <c r="K394" s="5" t="s">
        <v>46</v>
      </c>
      <c r="L394" s="5" t="s">
        <v>46</v>
      </c>
      <c r="M394" s="5" t="s">
        <v>22</v>
      </c>
      <c r="N394" s="8">
        <f t="shared" ref="N394:N411" si="179">N393</f>
        <v>1</v>
      </c>
      <c r="O394" s="5">
        <v>0</v>
      </c>
      <c r="P394" s="5">
        <v>0</v>
      </c>
      <c r="Q394" s="5" t="s">
        <v>23</v>
      </c>
      <c r="R394" s="5" t="s">
        <v>23</v>
      </c>
      <c r="S394" s="5" t="s">
        <v>23</v>
      </c>
      <c r="T394" s="5" t="s">
        <v>46</v>
      </c>
      <c r="U394" s="5" t="s">
        <v>46</v>
      </c>
      <c r="V394" s="5" t="s">
        <v>46</v>
      </c>
      <c r="W394" s="5">
        <v>0</v>
      </c>
      <c r="X394" s="10" t="s">
        <v>77</v>
      </c>
      <c r="Y394" s="10"/>
      <c r="Z394" s="10"/>
      <c r="AB394" s="2" t="str">
        <f>CONCATENATE(B394,C394,D394,",""",E394,""",",F394,",",G394,",",H394,",",I394,",",J394,",",K394,",",L394,",",M394,",",N394,",",O394,",",P394,",",Q394,",",R394,",",S394,",",T394,",",U394,",",V394,",",W394,"},//",Y392,Y394)</f>
        <v>/*2*/{" ","","","","",false,false,false,false,10.0,1,0,0,0.0,0.0,0.0,false,false,false,0},//</v>
      </c>
      <c r="AD394" s="12" t="str">
        <f t="shared" si="173"/>
        <v/>
      </c>
      <c r="AE394" s="12" t="str">
        <f t="shared" ref="AE394:AE411" si="180">IF(X394="Да",CONCATENATE("float ",SUBSTITUTE(Z394," ","")," = Screens[",$A$29,"][",A394,"].Param;//",$Y$32,". ",Y394),"")</f>
        <v/>
      </c>
      <c r="AH394" s="12" t="str">
        <f t="shared" ref="AH394:AH410" si="181">IF(X394="Да",CONCATENATE("Ref.",,SUBSTITUTE(Z394," ","")," = ",$AI$1,SUBSTITUTE(Z394," ",""),";//",$Y$32,". ",Y394),"")</f>
        <v/>
      </c>
      <c r="AI394" s="12" t="str">
        <f t="shared" ref="AI394:AI410" si="182">IF(X394="Да",CONCATENATE($AI$1,SUBSTITUTE(Z394," ","")," = Ref.",SUBSTITUTE(Z394," ",""),";//",$Y$32,". ",Y394),"")</f>
        <v/>
      </c>
      <c r="AJ394" s="12" t="str">
        <f t="shared" ref="AJ394:AJ411" si="183">IF(X394="Да",CONCATENATE($AI$1,SUBSTITUTE(Z394," ","")," = ",M394,";//",$Y$32,". ",Y394),"")</f>
        <v/>
      </c>
    </row>
    <row r="395" spans="1:36" x14ac:dyDescent="0.25">
      <c r="A395" s="17">
        <f t="shared" si="178"/>
        <v>3</v>
      </c>
      <c r="B395" s="8" t="s">
        <v>29</v>
      </c>
      <c r="C395" s="4" t="s">
        <v>24</v>
      </c>
      <c r="D395" s="5" t="s">
        <v>0</v>
      </c>
      <c r="E395" s="5"/>
      <c r="F395" s="5" t="s">
        <v>1</v>
      </c>
      <c r="G395" s="5" t="s">
        <v>1</v>
      </c>
      <c r="H395" s="17" t="str">
        <f t="shared" si="172"/>
        <v>""</v>
      </c>
      <c r="I395" s="5" t="s">
        <v>46</v>
      </c>
      <c r="J395" s="5" t="s">
        <v>46</v>
      </c>
      <c r="K395" s="5" t="s">
        <v>46</v>
      </c>
      <c r="L395" s="5" t="s">
        <v>46</v>
      </c>
      <c r="M395" s="5" t="s">
        <v>22</v>
      </c>
      <c r="N395" s="8">
        <f t="shared" si="179"/>
        <v>1</v>
      </c>
      <c r="O395" s="5">
        <v>2</v>
      </c>
      <c r="P395" s="5">
        <v>0</v>
      </c>
      <c r="Q395" s="5" t="s">
        <v>23</v>
      </c>
      <c r="R395" s="5" t="s">
        <v>23</v>
      </c>
      <c r="S395" s="5" t="s">
        <v>23</v>
      </c>
      <c r="T395" s="5" t="s">
        <v>46</v>
      </c>
      <c r="U395" s="5" t="s">
        <v>46</v>
      </c>
      <c r="V395" s="5" t="s">
        <v>46</v>
      </c>
      <c r="W395" s="5">
        <v>0</v>
      </c>
      <c r="X395" s="10" t="s">
        <v>77</v>
      </c>
      <c r="Y395" s="10"/>
      <c r="Z395" s="10"/>
      <c r="AB395" s="2" t="str">
        <f>CONCATENATE(B395,C395,D395,",""",E395,""",",F395,",",G395,",",H395,",",I395,",",J395,",",K395,",",L395,",",M395,",",N395,",",O395,",",P395,",",Q395,",",R395,",",S395,",",T395,",",U395,",",V395,",",W395,"},//",Y392,Y395)</f>
        <v>/*3*/{" ","","","","",false,false,false,false,10.0,1,2,0,0.0,0.0,0.0,false,false,false,0},//</v>
      </c>
      <c r="AD395" s="12" t="str">
        <f t="shared" si="173"/>
        <v/>
      </c>
      <c r="AE395" s="12" t="str">
        <f t="shared" si="180"/>
        <v/>
      </c>
      <c r="AH395" s="12" t="str">
        <f t="shared" si="181"/>
        <v/>
      </c>
      <c r="AI395" s="12" t="str">
        <f t="shared" si="182"/>
        <v/>
      </c>
      <c r="AJ395" s="12" t="str">
        <f t="shared" si="183"/>
        <v/>
      </c>
    </row>
    <row r="396" spans="1:36" x14ac:dyDescent="0.25">
      <c r="A396" s="17">
        <f t="shared" si="178"/>
        <v>4</v>
      </c>
      <c r="B396" s="8" t="s">
        <v>30</v>
      </c>
      <c r="C396" s="4" t="s">
        <v>24</v>
      </c>
      <c r="D396" s="5" t="s">
        <v>0</v>
      </c>
      <c r="E396" s="5"/>
      <c r="F396" s="5" t="s">
        <v>1</v>
      </c>
      <c r="G396" s="5" t="s">
        <v>1</v>
      </c>
      <c r="H396" s="17" t="str">
        <f t="shared" si="172"/>
        <v>""</v>
      </c>
      <c r="I396" s="5" t="s">
        <v>46</v>
      </c>
      <c r="J396" s="5" t="s">
        <v>46</v>
      </c>
      <c r="K396" s="5" t="s">
        <v>46</v>
      </c>
      <c r="L396" s="5" t="s">
        <v>46</v>
      </c>
      <c r="M396" s="5" t="s">
        <v>22</v>
      </c>
      <c r="N396" s="8">
        <f t="shared" si="179"/>
        <v>1</v>
      </c>
      <c r="O396" s="5">
        <v>0</v>
      </c>
      <c r="P396" s="5">
        <v>0</v>
      </c>
      <c r="Q396" s="5" t="s">
        <v>23</v>
      </c>
      <c r="R396" s="5" t="s">
        <v>23</v>
      </c>
      <c r="S396" s="5" t="s">
        <v>23</v>
      </c>
      <c r="T396" s="5" t="s">
        <v>46</v>
      </c>
      <c r="U396" s="5" t="s">
        <v>46</v>
      </c>
      <c r="V396" s="5" t="s">
        <v>46</v>
      </c>
      <c r="W396" s="5">
        <v>0</v>
      </c>
      <c r="X396" s="10" t="s">
        <v>77</v>
      </c>
      <c r="Y396" s="10"/>
      <c r="Z396" s="10"/>
      <c r="AB396" s="2" t="str">
        <f>CONCATENATE(B396,C396,D396,",""",E396,""",",F396,",",G396,",",H396,",",I396,",",J396,",",K396,",",L396,",",M396,",",N396,",",O396,",",P396,",",Q396,",",R396,",",S396,",",T396,",",U396,",",V396,",",W396,"},//",Y392,Y396)</f>
        <v>/*4*/{" ","","","","",false,false,false,false,10.0,1,0,0,0.0,0.0,0.0,false,false,false,0},//</v>
      </c>
      <c r="AD396" s="12" t="str">
        <f>IF(X396="Да",CONCATENATE("float &amp;",SUBSTITUTE(Z396," ","")," = Screens[",$A$29,"][",A396,"].Param;// Ссылка. ",$Y$32,". ",Y396),"")</f>
        <v/>
      </c>
      <c r="AE396" s="12" t="str">
        <f t="shared" si="180"/>
        <v/>
      </c>
      <c r="AH396" s="12" t="str">
        <f t="shared" si="181"/>
        <v/>
      </c>
      <c r="AI396" s="12" t="str">
        <f t="shared" si="182"/>
        <v/>
      </c>
      <c r="AJ396" s="12" t="str">
        <f t="shared" si="183"/>
        <v/>
      </c>
    </row>
    <row r="397" spans="1:36" x14ac:dyDescent="0.25">
      <c r="A397" s="17">
        <f t="shared" si="178"/>
        <v>5</v>
      </c>
      <c r="B397" s="8" t="s">
        <v>31</v>
      </c>
      <c r="C397" s="4" t="s">
        <v>24</v>
      </c>
      <c r="D397" s="5" t="s">
        <v>0</v>
      </c>
      <c r="E397" s="5"/>
      <c r="F397" s="5" t="s">
        <v>1</v>
      </c>
      <c r="G397" s="5" t="s">
        <v>1</v>
      </c>
      <c r="H397" s="17" t="str">
        <f t="shared" si="172"/>
        <v>""</v>
      </c>
      <c r="I397" s="5" t="s">
        <v>46</v>
      </c>
      <c r="J397" s="5" t="s">
        <v>46</v>
      </c>
      <c r="K397" s="5" t="s">
        <v>46</v>
      </c>
      <c r="L397" s="5" t="s">
        <v>46</v>
      </c>
      <c r="M397" s="5" t="s">
        <v>22</v>
      </c>
      <c r="N397" s="8">
        <f t="shared" si="179"/>
        <v>1</v>
      </c>
      <c r="O397" s="5">
        <v>0</v>
      </c>
      <c r="P397" s="5">
        <v>0</v>
      </c>
      <c r="Q397" s="5" t="s">
        <v>23</v>
      </c>
      <c r="R397" s="5" t="s">
        <v>23</v>
      </c>
      <c r="S397" s="5" t="s">
        <v>23</v>
      </c>
      <c r="T397" s="5" t="s">
        <v>46</v>
      </c>
      <c r="U397" s="5" t="s">
        <v>46</v>
      </c>
      <c r="V397" s="5" t="s">
        <v>46</v>
      </c>
      <c r="W397" s="5">
        <v>0</v>
      </c>
      <c r="X397" s="10" t="s">
        <v>77</v>
      </c>
      <c r="Y397" s="10"/>
      <c r="Z397" s="10"/>
      <c r="AB397" s="2" t="str">
        <f>CONCATENATE(B397,C397,D397,",""",E397,""",",F397,",",G397,",",H397,",",I397,",",J397,",",K397,",",L397,",",M397,",",N397,",",O397,",",P397,",",Q397,",",R397,",",S397,",",T397,",",U397,",",V397,",",W397,"},//",Y392,Y397)</f>
        <v>/*5*/{" ","","","","",false,false,false,false,10.0,1,0,0,0.0,0.0,0.0,false,false,false,0},//</v>
      </c>
      <c r="AD397" s="12" t="str">
        <f t="shared" ref="AD397:AD411" si="184">IF(X397="Да",CONCATENATE("float &amp;",SUBSTITUTE(Z397," ","")," = Screens[",$A$29,"][",A397,"].Param;// Ссылка. ",$Y$32,". ",Y397),"")</f>
        <v/>
      </c>
      <c r="AE397" s="12" t="str">
        <f t="shared" si="180"/>
        <v/>
      </c>
      <c r="AH397" s="12" t="str">
        <f t="shared" si="181"/>
        <v/>
      </c>
      <c r="AI397" s="12" t="str">
        <f t="shared" si="182"/>
        <v/>
      </c>
      <c r="AJ397" s="12" t="str">
        <f t="shared" si="183"/>
        <v/>
      </c>
    </row>
    <row r="398" spans="1:36" x14ac:dyDescent="0.25">
      <c r="A398" s="17">
        <f t="shared" si="178"/>
        <v>6</v>
      </c>
      <c r="B398" s="8" t="s">
        <v>32</v>
      </c>
      <c r="C398" s="4" t="s">
        <v>24</v>
      </c>
      <c r="D398" s="5" t="s">
        <v>0</v>
      </c>
      <c r="E398" s="5"/>
      <c r="F398" s="5" t="s">
        <v>1</v>
      </c>
      <c r="G398" s="5" t="s">
        <v>1</v>
      </c>
      <c r="H398" s="17" t="str">
        <f t="shared" si="172"/>
        <v>""</v>
      </c>
      <c r="I398" s="5" t="s">
        <v>46</v>
      </c>
      <c r="J398" s="5" t="s">
        <v>46</v>
      </c>
      <c r="K398" s="5" t="s">
        <v>46</v>
      </c>
      <c r="L398" s="5" t="s">
        <v>46</v>
      </c>
      <c r="M398" s="5" t="s">
        <v>22</v>
      </c>
      <c r="N398" s="8">
        <f t="shared" si="179"/>
        <v>1</v>
      </c>
      <c r="O398" s="5">
        <v>0</v>
      </c>
      <c r="P398" s="5">
        <v>0</v>
      </c>
      <c r="Q398" s="5" t="s">
        <v>23</v>
      </c>
      <c r="R398" s="5" t="s">
        <v>23</v>
      </c>
      <c r="S398" s="5" t="s">
        <v>23</v>
      </c>
      <c r="T398" s="5" t="s">
        <v>46</v>
      </c>
      <c r="U398" s="5" t="s">
        <v>46</v>
      </c>
      <c r="V398" s="5" t="s">
        <v>46</v>
      </c>
      <c r="W398" s="5">
        <v>0</v>
      </c>
      <c r="X398" s="10" t="s">
        <v>77</v>
      </c>
      <c r="Y398" s="10"/>
      <c r="Z398" s="10"/>
      <c r="AB398" s="2" t="str">
        <f>CONCATENATE(B398,C398,D398,",""",E398,""",",F398,",",G398,",",H398,",",I398,",",J398,",",K398,",",L398,",",M398,",",N398,",",O398,",",P398,",",Q398,",",R398,",",S398,",",T398,",",U398,",",V398,",",W398,"},//",Y392,Y398)</f>
        <v>/*6*/{" ","","","","",false,false,false,false,10.0,1,0,0,0.0,0.0,0.0,false,false,false,0},//</v>
      </c>
      <c r="AD398" s="12" t="str">
        <f t="shared" si="184"/>
        <v/>
      </c>
      <c r="AE398" s="12" t="str">
        <f t="shared" si="180"/>
        <v/>
      </c>
      <c r="AH398" s="12" t="str">
        <f t="shared" si="181"/>
        <v/>
      </c>
      <c r="AI398" s="12" t="str">
        <f t="shared" si="182"/>
        <v/>
      </c>
      <c r="AJ398" s="12" t="str">
        <f t="shared" si="183"/>
        <v/>
      </c>
    </row>
    <row r="399" spans="1:36" x14ac:dyDescent="0.25">
      <c r="A399" s="17">
        <f t="shared" si="178"/>
        <v>7</v>
      </c>
      <c r="B399" s="8" t="s">
        <v>33</v>
      </c>
      <c r="C399" s="4" t="s">
        <v>24</v>
      </c>
      <c r="D399" s="5" t="s">
        <v>0</v>
      </c>
      <c r="E399" s="5"/>
      <c r="F399" s="5" t="s">
        <v>1</v>
      </c>
      <c r="G399" s="5" t="s">
        <v>1</v>
      </c>
      <c r="H399" s="17" t="str">
        <f t="shared" si="172"/>
        <v>""</v>
      </c>
      <c r="I399" s="5" t="s">
        <v>46</v>
      </c>
      <c r="J399" s="5" t="s">
        <v>46</v>
      </c>
      <c r="K399" s="5" t="s">
        <v>46</v>
      </c>
      <c r="L399" s="5" t="s">
        <v>46</v>
      </c>
      <c r="M399" s="5" t="s">
        <v>22</v>
      </c>
      <c r="N399" s="8">
        <f t="shared" si="179"/>
        <v>1</v>
      </c>
      <c r="O399" s="5">
        <v>0</v>
      </c>
      <c r="P399" s="5">
        <v>0</v>
      </c>
      <c r="Q399" s="5" t="s">
        <v>23</v>
      </c>
      <c r="R399" s="5" t="s">
        <v>23</v>
      </c>
      <c r="S399" s="5" t="s">
        <v>23</v>
      </c>
      <c r="T399" s="5" t="s">
        <v>46</v>
      </c>
      <c r="U399" s="5" t="s">
        <v>46</v>
      </c>
      <c r="V399" s="5" t="s">
        <v>46</v>
      </c>
      <c r="W399" s="5">
        <v>0</v>
      </c>
      <c r="X399" s="10" t="s">
        <v>77</v>
      </c>
      <c r="Y399" s="10"/>
      <c r="Z399" s="10"/>
      <c r="AB399" s="2" t="str">
        <f>CONCATENATE(B399,C399,D399,",""",E399,""",",F399,",",G399,",",H399,",",I399,",",J399,",",K399,",",L399,",",M399,",",N399,",",O399,",",P399,",",Q399,",",R399,",",S399,",",T399,",",U399,",",V399,",",W399,"},//",Y392,Y399)</f>
        <v>/*7*/{" ","","","","",false,false,false,false,10.0,1,0,0,0.0,0.0,0.0,false,false,false,0},//</v>
      </c>
      <c r="AD399" s="12" t="str">
        <f t="shared" si="184"/>
        <v/>
      </c>
      <c r="AE399" s="12" t="str">
        <f t="shared" si="180"/>
        <v/>
      </c>
      <c r="AH399" s="12" t="str">
        <f t="shared" si="181"/>
        <v/>
      </c>
      <c r="AI399" s="12" t="str">
        <f t="shared" si="182"/>
        <v/>
      </c>
      <c r="AJ399" s="12" t="str">
        <f t="shared" si="183"/>
        <v/>
      </c>
    </row>
    <row r="400" spans="1:36" x14ac:dyDescent="0.25">
      <c r="A400" s="17">
        <f t="shared" si="178"/>
        <v>8</v>
      </c>
      <c r="B400" s="8" t="s">
        <v>34</v>
      </c>
      <c r="C400" s="4" t="s">
        <v>24</v>
      </c>
      <c r="D400" s="5" t="s">
        <v>0</v>
      </c>
      <c r="E400" s="5"/>
      <c r="F400" s="5" t="s">
        <v>1</v>
      </c>
      <c r="G400" s="5" t="s">
        <v>1</v>
      </c>
      <c r="H400" s="17" t="str">
        <f t="shared" si="172"/>
        <v>""</v>
      </c>
      <c r="I400" s="5" t="s">
        <v>46</v>
      </c>
      <c r="J400" s="5" t="s">
        <v>46</v>
      </c>
      <c r="K400" s="5" t="s">
        <v>46</v>
      </c>
      <c r="L400" s="5" t="s">
        <v>46</v>
      </c>
      <c r="M400" s="5" t="s">
        <v>22</v>
      </c>
      <c r="N400" s="8">
        <f t="shared" si="179"/>
        <v>1</v>
      </c>
      <c r="O400" s="5">
        <v>0</v>
      </c>
      <c r="P400" s="5">
        <v>0</v>
      </c>
      <c r="Q400" s="5" t="s">
        <v>23</v>
      </c>
      <c r="R400" s="5" t="s">
        <v>23</v>
      </c>
      <c r="S400" s="5" t="s">
        <v>23</v>
      </c>
      <c r="T400" s="5" t="s">
        <v>46</v>
      </c>
      <c r="U400" s="5" t="s">
        <v>46</v>
      </c>
      <c r="V400" s="5" t="s">
        <v>46</v>
      </c>
      <c r="W400" s="5">
        <v>0</v>
      </c>
      <c r="X400" s="10" t="s">
        <v>77</v>
      </c>
      <c r="Y400" s="10"/>
      <c r="Z400" s="10"/>
      <c r="AB400" s="2" t="str">
        <f>CONCATENATE(B400,C400,D400,",""",E400,""",",F400,",",G400,",",H400,",",I400,",",J400,",",K400,",",L400,",",M400,",",N400,",",O400,",",P400,",",Q400,",",R400,",",S400,",",T400,",",U400,",",V400,",",W400,"},//",Y392,Y400)</f>
        <v>/*8*/{" ","","","","",false,false,false,false,10.0,1,0,0,0.0,0.0,0.0,false,false,false,0},//</v>
      </c>
      <c r="AD400" s="12" t="str">
        <f t="shared" si="184"/>
        <v/>
      </c>
      <c r="AE400" s="12" t="str">
        <f t="shared" si="180"/>
        <v/>
      </c>
      <c r="AH400" s="12" t="str">
        <f t="shared" si="181"/>
        <v/>
      </c>
      <c r="AI400" s="12" t="str">
        <f t="shared" si="182"/>
        <v/>
      </c>
      <c r="AJ400" s="12" t="str">
        <f t="shared" si="183"/>
        <v/>
      </c>
    </row>
    <row r="401" spans="1:36" x14ac:dyDescent="0.25">
      <c r="A401" s="17">
        <f t="shared" si="178"/>
        <v>9</v>
      </c>
      <c r="B401" s="8" t="s">
        <v>35</v>
      </c>
      <c r="C401" s="4" t="s">
        <v>24</v>
      </c>
      <c r="D401" s="5" t="s">
        <v>0</v>
      </c>
      <c r="E401" s="5"/>
      <c r="F401" s="5" t="s">
        <v>1</v>
      </c>
      <c r="G401" s="5" t="s">
        <v>1</v>
      </c>
      <c r="H401" s="17" t="str">
        <f t="shared" si="172"/>
        <v>""</v>
      </c>
      <c r="I401" s="5" t="s">
        <v>46</v>
      </c>
      <c r="J401" s="5" t="s">
        <v>46</v>
      </c>
      <c r="K401" s="5" t="s">
        <v>46</v>
      </c>
      <c r="L401" s="5" t="s">
        <v>46</v>
      </c>
      <c r="M401" s="5" t="s">
        <v>22</v>
      </c>
      <c r="N401" s="8">
        <f t="shared" si="179"/>
        <v>1</v>
      </c>
      <c r="O401" s="5">
        <v>0</v>
      </c>
      <c r="P401" s="5">
        <v>0</v>
      </c>
      <c r="Q401" s="5" t="s">
        <v>23</v>
      </c>
      <c r="R401" s="5" t="s">
        <v>23</v>
      </c>
      <c r="S401" s="5" t="s">
        <v>23</v>
      </c>
      <c r="T401" s="5" t="s">
        <v>46</v>
      </c>
      <c r="U401" s="5" t="s">
        <v>46</v>
      </c>
      <c r="V401" s="5" t="s">
        <v>46</v>
      </c>
      <c r="W401" s="5">
        <v>0</v>
      </c>
      <c r="X401" s="10" t="s">
        <v>77</v>
      </c>
      <c r="Y401" s="10"/>
      <c r="Z401" s="10"/>
      <c r="AB401" s="2" t="str">
        <f>CONCATENATE(B401,C401,D401,",""",E401,""",",F401,",",G401,",",H401,",",I401,",",J401,",",K401,",",L401,",",M401,",",N401,",",O401,",",P401,",",Q401,",",R401,",",S401,",",T401,",",U401,",",V401,",",W401,"},//",Y392,Y401)</f>
        <v>/*9*/{" ","","","","",false,false,false,false,10.0,1,0,0,0.0,0.0,0.0,false,false,false,0},//</v>
      </c>
      <c r="AD401" s="12" t="str">
        <f t="shared" si="184"/>
        <v/>
      </c>
      <c r="AE401" s="12" t="str">
        <f t="shared" si="180"/>
        <v/>
      </c>
      <c r="AH401" s="12" t="str">
        <f t="shared" si="181"/>
        <v/>
      </c>
      <c r="AI401" s="12" t="str">
        <f t="shared" si="182"/>
        <v/>
      </c>
      <c r="AJ401" s="12" t="str">
        <f t="shared" si="183"/>
        <v/>
      </c>
    </row>
    <row r="402" spans="1:36" x14ac:dyDescent="0.25">
      <c r="A402" s="17">
        <f t="shared" si="178"/>
        <v>10</v>
      </c>
      <c r="B402" s="8" t="s">
        <v>36</v>
      </c>
      <c r="C402" s="4" t="s">
        <v>24</v>
      </c>
      <c r="D402" s="5" t="s">
        <v>0</v>
      </c>
      <c r="E402" s="5"/>
      <c r="F402" s="5" t="s">
        <v>1</v>
      </c>
      <c r="G402" s="5" t="s">
        <v>1</v>
      </c>
      <c r="H402" s="17" t="str">
        <f t="shared" si="172"/>
        <v>""</v>
      </c>
      <c r="I402" s="5" t="s">
        <v>46</v>
      </c>
      <c r="J402" s="5" t="s">
        <v>46</v>
      </c>
      <c r="K402" s="5" t="s">
        <v>46</v>
      </c>
      <c r="L402" s="5" t="s">
        <v>46</v>
      </c>
      <c r="M402" s="5" t="s">
        <v>22</v>
      </c>
      <c r="N402" s="8">
        <f t="shared" si="179"/>
        <v>1</v>
      </c>
      <c r="O402" s="5">
        <v>0</v>
      </c>
      <c r="P402" s="5">
        <v>0</v>
      </c>
      <c r="Q402" s="5" t="s">
        <v>23</v>
      </c>
      <c r="R402" s="5" t="s">
        <v>23</v>
      </c>
      <c r="S402" s="5" t="s">
        <v>23</v>
      </c>
      <c r="T402" s="5" t="s">
        <v>46</v>
      </c>
      <c r="U402" s="5" t="s">
        <v>46</v>
      </c>
      <c r="V402" s="5" t="s">
        <v>46</v>
      </c>
      <c r="W402" s="5">
        <v>0</v>
      </c>
      <c r="X402" s="10" t="s">
        <v>77</v>
      </c>
      <c r="Y402" s="10"/>
      <c r="Z402" s="10"/>
      <c r="AB402" s="2" t="str">
        <f>CONCATENATE(B402,C402,D402,",""",E402,""",",F402,",",G402,",",H402,",",I402,",",J402,",",K402,",",L402,",",M402,",",N402,",",O402,",",P402,",",Q402,",",R402,",",S402,",",T402,",",U402,",",V402,",",W402,"},//",Y392,Y402)</f>
        <v>/*10*/{" ","","","","",false,false,false,false,10.0,1,0,0,0.0,0.0,0.0,false,false,false,0},//</v>
      </c>
      <c r="AD402" s="12" t="str">
        <f t="shared" si="184"/>
        <v/>
      </c>
      <c r="AE402" s="12" t="str">
        <f t="shared" si="180"/>
        <v/>
      </c>
      <c r="AH402" s="12" t="str">
        <f t="shared" si="181"/>
        <v/>
      </c>
      <c r="AI402" s="12" t="str">
        <f t="shared" si="182"/>
        <v/>
      </c>
      <c r="AJ402" s="12" t="str">
        <f t="shared" si="183"/>
        <v/>
      </c>
    </row>
    <row r="403" spans="1:36" x14ac:dyDescent="0.25">
      <c r="A403" s="17">
        <f t="shared" si="178"/>
        <v>11</v>
      </c>
      <c r="B403" s="8" t="s">
        <v>37</v>
      </c>
      <c r="C403" s="4" t="s">
        <v>24</v>
      </c>
      <c r="D403" s="5" t="s">
        <v>0</v>
      </c>
      <c r="E403" s="5"/>
      <c r="F403" s="5" t="s">
        <v>1</v>
      </c>
      <c r="G403" s="5" t="s">
        <v>1</v>
      </c>
      <c r="H403" s="17" t="str">
        <f t="shared" si="172"/>
        <v>""</v>
      </c>
      <c r="I403" s="5" t="s">
        <v>46</v>
      </c>
      <c r="J403" s="5" t="s">
        <v>46</v>
      </c>
      <c r="K403" s="5" t="s">
        <v>46</v>
      </c>
      <c r="L403" s="5" t="s">
        <v>46</v>
      </c>
      <c r="M403" s="5" t="s">
        <v>22</v>
      </c>
      <c r="N403" s="8">
        <f t="shared" si="179"/>
        <v>1</v>
      </c>
      <c r="O403" s="5">
        <v>0</v>
      </c>
      <c r="P403" s="5">
        <v>0</v>
      </c>
      <c r="Q403" s="5" t="s">
        <v>23</v>
      </c>
      <c r="R403" s="5" t="s">
        <v>23</v>
      </c>
      <c r="S403" s="5" t="s">
        <v>23</v>
      </c>
      <c r="T403" s="5" t="s">
        <v>46</v>
      </c>
      <c r="U403" s="5" t="s">
        <v>46</v>
      </c>
      <c r="V403" s="5" t="s">
        <v>46</v>
      </c>
      <c r="W403" s="5">
        <v>0</v>
      </c>
      <c r="X403" s="10" t="s">
        <v>77</v>
      </c>
      <c r="Y403" s="10"/>
      <c r="Z403" s="10"/>
      <c r="AB403" s="2" t="str">
        <f>CONCATENATE(B403,C403,D403,",""",E403,""",",F403,",",G403,",",H403,",",I403,",",J403,",",K403,",",L403,",",M403,",",N403,",",O403,",",P403,",",Q403,",",R403,",",S403,",",T403,",",U403,",",V403,",",W403,"},//",Y392,Y403)</f>
        <v>/*11*/{" ","","","","",false,false,false,false,10.0,1,0,0,0.0,0.0,0.0,false,false,false,0},//</v>
      </c>
      <c r="AD403" s="12" t="str">
        <f t="shared" si="184"/>
        <v/>
      </c>
      <c r="AE403" s="12" t="str">
        <f t="shared" si="180"/>
        <v/>
      </c>
      <c r="AH403" s="12" t="str">
        <f t="shared" si="181"/>
        <v/>
      </c>
      <c r="AI403" s="12" t="str">
        <f t="shared" si="182"/>
        <v/>
      </c>
      <c r="AJ403" s="12" t="str">
        <f t="shared" si="183"/>
        <v/>
      </c>
    </row>
    <row r="404" spans="1:36" x14ac:dyDescent="0.25">
      <c r="A404" s="17">
        <f t="shared" si="178"/>
        <v>12</v>
      </c>
      <c r="B404" s="8" t="s">
        <v>38</v>
      </c>
      <c r="C404" s="4" t="s">
        <v>24</v>
      </c>
      <c r="D404" s="5" t="s">
        <v>0</v>
      </c>
      <c r="E404" s="5"/>
      <c r="F404" s="5" t="s">
        <v>1</v>
      </c>
      <c r="G404" s="5" t="s">
        <v>1</v>
      </c>
      <c r="H404" s="17" t="str">
        <f t="shared" si="172"/>
        <v>""</v>
      </c>
      <c r="I404" s="5" t="s">
        <v>46</v>
      </c>
      <c r="J404" s="5" t="s">
        <v>46</v>
      </c>
      <c r="K404" s="5" t="s">
        <v>46</v>
      </c>
      <c r="L404" s="5" t="s">
        <v>46</v>
      </c>
      <c r="M404" s="5" t="s">
        <v>22</v>
      </c>
      <c r="N404" s="8">
        <f t="shared" si="179"/>
        <v>1</v>
      </c>
      <c r="O404" s="5">
        <v>0</v>
      </c>
      <c r="P404" s="5">
        <v>0</v>
      </c>
      <c r="Q404" s="5" t="s">
        <v>23</v>
      </c>
      <c r="R404" s="5" t="s">
        <v>23</v>
      </c>
      <c r="S404" s="5" t="s">
        <v>23</v>
      </c>
      <c r="T404" s="5" t="s">
        <v>46</v>
      </c>
      <c r="U404" s="5" t="s">
        <v>46</v>
      </c>
      <c r="V404" s="5" t="s">
        <v>46</v>
      </c>
      <c r="W404" s="5">
        <v>0</v>
      </c>
      <c r="X404" s="10" t="s">
        <v>77</v>
      </c>
      <c r="Y404" s="10"/>
      <c r="Z404" s="10"/>
      <c r="AB404" s="2" t="str">
        <f>CONCATENATE(B404,C404,D404,",""",E404,""",",F404,",",G404,",",H404,",",I404,",",J404,",",K404,",",L404,",",M404,",",N404,",",O404,",",P404,",",Q404,",",R404,",",S404,",",T404,",",U404,",",V404,",",W404,"},//",Y392,Y404)</f>
        <v>/*12*/{" ","","","","",false,false,false,false,10.0,1,0,0,0.0,0.0,0.0,false,false,false,0},//</v>
      </c>
      <c r="AD404" s="12" t="str">
        <f t="shared" si="184"/>
        <v/>
      </c>
      <c r="AE404" s="12" t="str">
        <f t="shared" si="180"/>
        <v/>
      </c>
      <c r="AH404" s="12" t="str">
        <f t="shared" si="181"/>
        <v/>
      </c>
      <c r="AI404" s="12" t="str">
        <f t="shared" si="182"/>
        <v/>
      </c>
      <c r="AJ404" s="12" t="str">
        <f t="shared" si="183"/>
        <v/>
      </c>
    </row>
    <row r="405" spans="1:36" x14ac:dyDescent="0.25">
      <c r="A405" s="17">
        <f t="shared" si="178"/>
        <v>13</v>
      </c>
      <c r="B405" s="8" t="s">
        <v>39</v>
      </c>
      <c r="C405" s="4" t="s">
        <v>24</v>
      </c>
      <c r="D405" s="5" t="s">
        <v>0</v>
      </c>
      <c r="E405" s="5"/>
      <c r="F405" s="5" t="s">
        <v>1</v>
      </c>
      <c r="G405" s="5" t="s">
        <v>1</v>
      </c>
      <c r="H405" s="17" t="str">
        <f t="shared" si="172"/>
        <v>""</v>
      </c>
      <c r="I405" s="5" t="s">
        <v>46</v>
      </c>
      <c r="J405" s="5" t="s">
        <v>46</v>
      </c>
      <c r="K405" s="5" t="s">
        <v>46</v>
      </c>
      <c r="L405" s="5" t="s">
        <v>46</v>
      </c>
      <c r="M405" s="5" t="s">
        <v>22</v>
      </c>
      <c r="N405" s="8">
        <f t="shared" si="179"/>
        <v>1</v>
      </c>
      <c r="O405" s="5">
        <v>0</v>
      </c>
      <c r="P405" s="5">
        <v>0</v>
      </c>
      <c r="Q405" s="5" t="s">
        <v>23</v>
      </c>
      <c r="R405" s="5" t="s">
        <v>23</v>
      </c>
      <c r="S405" s="5" t="s">
        <v>23</v>
      </c>
      <c r="T405" s="5" t="s">
        <v>46</v>
      </c>
      <c r="U405" s="5" t="s">
        <v>46</v>
      </c>
      <c r="V405" s="5" t="s">
        <v>46</v>
      </c>
      <c r="W405" s="5">
        <v>0</v>
      </c>
      <c r="X405" s="10" t="s">
        <v>77</v>
      </c>
      <c r="Y405" s="10"/>
      <c r="Z405" s="10"/>
      <c r="AB405" s="2" t="str">
        <f>CONCATENATE(B405,C405,D405,",""",E405,""",",F405,",",G405,",",H405,",",I405,",",J405,",",K405,",",L405,",",M405,",",N405,",",O405,",",P405,",",Q405,",",R405,",",S405,",",T405,",",U405,",",V405,",",W405,"},//",Y392,Y405)</f>
        <v>/*13*/{" ","","","","",false,false,false,false,10.0,1,0,0,0.0,0.0,0.0,false,false,false,0},//</v>
      </c>
      <c r="AD405" s="12" t="str">
        <f t="shared" si="184"/>
        <v/>
      </c>
      <c r="AE405" s="12" t="str">
        <f t="shared" si="180"/>
        <v/>
      </c>
      <c r="AH405" s="12" t="str">
        <f t="shared" si="181"/>
        <v/>
      </c>
      <c r="AI405" s="12" t="str">
        <f t="shared" si="182"/>
        <v/>
      </c>
      <c r="AJ405" s="12" t="str">
        <f t="shared" si="183"/>
        <v/>
      </c>
    </row>
    <row r="406" spans="1:36" x14ac:dyDescent="0.25">
      <c r="A406" s="17">
        <f t="shared" si="178"/>
        <v>14</v>
      </c>
      <c r="B406" s="8" t="s">
        <v>40</v>
      </c>
      <c r="C406" s="4" t="s">
        <v>24</v>
      </c>
      <c r="D406" s="5" t="s">
        <v>0</v>
      </c>
      <c r="E406" s="5"/>
      <c r="F406" s="5" t="s">
        <v>1</v>
      </c>
      <c r="G406" s="5" t="s">
        <v>1</v>
      </c>
      <c r="H406" s="17" t="str">
        <f t="shared" si="172"/>
        <v>""</v>
      </c>
      <c r="I406" s="5" t="s">
        <v>46</v>
      </c>
      <c r="J406" s="5" t="s">
        <v>46</v>
      </c>
      <c r="K406" s="5" t="s">
        <v>46</v>
      </c>
      <c r="L406" s="5" t="s">
        <v>46</v>
      </c>
      <c r="M406" s="5" t="s">
        <v>22</v>
      </c>
      <c r="N406" s="8">
        <f t="shared" si="179"/>
        <v>1</v>
      </c>
      <c r="O406" s="5">
        <v>0</v>
      </c>
      <c r="P406" s="5">
        <v>0</v>
      </c>
      <c r="Q406" s="5" t="s">
        <v>23</v>
      </c>
      <c r="R406" s="5" t="s">
        <v>23</v>
      </c>
      <c r="S406" s="5" t="s">
        <v>23</v>
      </c>
      <c r="T406" s="5" t="s">
        <v>46</v>
      </c>
      <c r="U406" s="5" t="s">
        <v>46</v>
      </c>
      <c r="V406" s="5" t="s">
        <v>46</v>
      </c>
      <c r="W406" s="5">
        <v>0</v>
      </c>
      <c r="X406" s="10" t="s">
        <v>77</v>
      </c>
      <c r="Y406" s="10"/>
      <c r="Z406" s="10"/>
      <c r="AB406" s="2" t="str">
        <f>CONCATENATE(B406,C406,D406,",""",E406,""",",F406,",",G406,",",H406,",",I406,",",J406,",",K406,",",L406,",",M406,",",N406,",",O406,",",P406,",",Q406,",",R406,",",S406,",",T406,",",U406,",",V406,",",W406,"},//",Y392,Y406)</f>
        <v>/*14*/{" ","","","","",false,false,false,false,10.0,1,0,0,0.0,0.0,0.0,false,false,false,0},//</v>
      </c>
      <c r="AD406" s="12" t="str">
        <f t="shared" si="184"/>
        <v/>
      </c>
      <c r="AE406" s="12" t="str">
        <f t="shared" si="180"/>
        <v/>
      </c>
      <c r="AH406" s="12" t="str">
        <f t="shared" si="181"/>
        <v/>
      </c>
      <c r="AI406" s="12" t="str">
        <f t="shared" si="182"/>
        <v/>
      </c>
      <c r="AJ406" s="12" t="str">
        <f t="shared" si="183"/>
        <v/>
      </c>
    </row>
    <row r="407" spans="1:36" x14ac:dyDescent="0.25">
      <c r="A407" s="17">
        <f t="shared" si="178"/>
        <v>15</v>
      </c>
      <c r="B407" s="8" t="s">
        <v>41</v>
      </c>
      <c r="C407" s="4" t="s">
        <v>24</v>
      </c>
      <c r="D407" s="5" t="s">
        <v>0</v>
      </c>
      <c r="E407" s="5"/>
      <c r="F407" s="5" t="s">
        <v>1</v>
      </c>
      <c r="G407" s="5" t="s">
        <v>1</v>
      </c>
      <c r="H407" s="17" t="str">
        <f t="shared" si="172"/>
        <v>""</v>
      </c>
      <c r="I407" s="5" t="s">
        <v>46</v>
      </c>
      <c r="J407" s="5" t="s">
        <v>46</v>
      </c>
      <c r="K407" s="5" t="s">
        <v>46</v>
      </c>
      <c r="L407" s="5" t="s">
        <v>46</v>
      </c>
      <c r="M407" s="5" t="s">
        <v>22</v>
      </c>
      <c r="N407" s="8">
        <f t="shared" si="179"/>
        <v>1</v>
      </c>
      <c r="O407" s="5">
        <v>0</v>
      </c>
      <c r="P407" s="5">
        <v>0</v>
      </c>
      <c r="Q407" s="5" t="s">
        <v>23</v>
      </c>
      <c r="R407" s="5" t="s">
        <v>23</v>
      </c>
      <c r="S407" s="5" t="s">
        <v>23</v>
      </c>
      <c r="T407" s="5" t="s">
        <v>46</v>
      </c>
      <c r="U407" s="5" t="s">
        <v>46</v>
      </c>
      <c r="V407" s="5" t="s">
        <v>46</v>
      </c>
      <c r="W407" s="5">
        <v>0</v>
      </c>
      <c r="X407" s="10" t="s">
        <v>77</v>
      </c>
      <c r="Y407" s="10"/>
      <c r="Z407" s="10"/>
      <c r="AB407" s="2" t="str">
        <f>CONCATENATE(B407,C407,D407,",""",E407,""",",F407,",",G407,",",H407,",",I407,",",J407,",",K407,",",L407,",",M407,",",N407,",",O407,",",P407,",",Q407,",",R407,",",S407,",",T407,",",U407,",",V407,",",W407,"},//",Y392,Y407)</f>
        <v>/*15*/{" ","","","","",false,false,false,false,10.0,1,0,0,0.0,0.0,0.0,false,false,false,0},//</v>
      </c>
      <c r="AD407" s="12" t="str">
        <f t="shared" si="184"/>
        <v/>
      </c>
      <c r="AE407" s="12" t="str">
        <f t="shared" si="180"/>
        <v/>
      </c>
      <c r="AH407" s="12" t="str">
        <f t="shared" si="181"/>
        <v/>
      </c>
      <c r="AI407" s="12" t="str">
        <f t="shared" si="182"/>
        <v/>
      </c>
      <c r="AJ407" s="12" t="str">
        <f t="shared" si="183"/>
        <v/>
      </c>
    </row>
    <row r="408" spans="1:36" x14ac:dyDescent="0.25">
      <c r="A408" s="17">
        <f t="shared" si="178"/>
        <v>16</v>
      </c>
      <c r="B408" s="8" t="s">
        <v>42</v>
      </c>
      <c r="C408" s="4" t="s">
        <v>24</v>
      </c>
      <c r="D408" s="5" t="s">
        <v>0</v>
      </c>
      <c r="E408" s="5"/>
      <c r="F408" s="5" t="s">
        <v>1</v>
      </c>
      <c r="G408" s="5" t="s">
        <v>1</v>
      </c>
      <c r="H408" s="17" t="str">
        <f t="shared" si="172"/>
        <v>""</v>
      </c>
      <c r="I408" s="5" t="s">
        <v>46</v>
      </c>
      <c r="J408" s="5" t="s">
        <v>46</v>
      </c>
      <c r="K408" s="5" t="s">
        <v>46</v>
      </c>
      <c r="L408" s="5" t="s">
        <v>46</v>
      </c>
      <c r="M408" s="5" t="s">
        <v>22</v>
      </c>
      <c r="N408" s="8">
        <f t="shared" si="179"/>
        <v>1</v>
      </c>
      <c r="O408" s="5">
        <v>0</v>
      </c>
      <c r="P408" s="5">
        <v>0</v>
      </c>
      <c r="Q408" s="5" t="s">
        <v>23</v>
      </c>
      <c r="R408" s="5" t="s">
        <v>23</v>
      </c>
      <c r="S408" s="5" t="s">
        <v>23</v>
      </c>
      <c r="T408" s="5" t="s">
        <v>46</v>
      </c>
      <c r="U408" s="5" t="s">
        <v>46</v>
      </c>
      <c r="V408" s="5" t="s">
        <v>46</v>
      </c>
      <c r="W408" s="5">
        <v>0</v>
      </c>
      <c r="X408" s="10" t="s">
        <v>77</v>
      </c>
      <c r="Y408" s="10"/>
      <c r="Z408" s="10"/>
      <c r="AB408" s="2" t="str">
        <f>CONCATENATE(B408,C408,D408,",""",E408,""",",F408,",",G408,",",H408,",",I408,",",J408,",",K408,",",L408,",",M408,",",N408,",",O408,",",P408,",",Q408,",",R408,",",S408,",",T408,",",U408,",",V408,",",W408,"},//",Y392,Y408)</f>
        <v>/*16*/{" ","","","","",false,false,false,false,10.0,1,0,0,0.0,0.0,0.0,false,false,false,0},//</v>
      </c>
      <c r="AD408" s="12" t="str">
        <f t="shared" si="184"/>
        <v/>
      </c>
      <c r="AE408" s="12" t="str">
        <f t="shared" si="180"/>
        <v/>
      </c>
      <c r="AH408" s="12" t="str">
        <f t="shared" si="181"/>
        <v/>
      </c>
      <c r="AI408" s="12" t="str">
        <f t="shared" si="182"/>
        <v/>
      </c>
      <c r="AJ408" s="12" t="str">
        <f t="shared" si="183"/>
        <v/>
      </c>
    </row>
    <row r="409" spans="1:36" x14ac:dyDescent="0.25">
      <c r="A409" s="17">
        <f t="shared" si="178"/>
        <v>17</v>
      </c>
      <c r="B409" s="8" t="s">
        <v>43</v>
      </c>
      <c r="C409" s="4" t="s">
        <v>24</v>
      </c>
      <c r="D409" s="5" t="s">
        <v>0</v>
      </c>
      <c r="E409" s="5"/>
      <c r="F409" s="5" t="s">
        <v>1</v>
      </c>
      <c r="G409" s="5" t="s">
        <v>1</v>
      </c>
      <c r="H409" s="17" t="str">
        <f t="shared" si="172"/>
        <v>""</v>
      </c>
      <c r="I409" s="5" t="s">
        <v>46</v>
      </c>
      <c r="J409" s="5" t="s">
        <v>46</v>
      </c>
      <c r="K409" s="5" t="s">
        <v>46</v>
      </c>
      <c r="L409" s="5" t="s">
        <v>46</v>
      </c>
      <c r="M409" s="5" t="s">
        <v>22</v>
      </c>
      <c r="N409" s="8">
        <f t="shared" si="179"/>
        <v>1</v>
      </c>
      <c r="O409" s="5">
        <v>0</v>
      </c>
      <c r="P409" s="5">
        <v>0</v>
      </c>
      <c r="Q409" s="5" t="s">
        <v>23</v>
      </c>
      <c r="R409" s="5" t="s">
        <v>23</v>
      </c>
      <c r="S409" s="5" t="s">
        <v>23</v>
      </c>
      <c r="T409" s="5" t="s">
        <v>46</v>
      </c>
      <c r="U409" s="5" t="s">
        <v>46</v>
      </c>
      <c r="V409" s="5" t="s">
        <v>46</v>
      </c>
      <c r="W409" s="5">
        <v>0</v>
      </c>
      <c r="X409" s="10" t="s">
        <v>77</v>
      </c>
      <c r="Y409" s="10"/>
      <c r="Z409" s="10"/>
      <c r="AB409" s="2" t="str">
        <f>CONCATENATE(B409,C409,D409,",""",E409,""",",F409,",",G409,",",H409,",",I409,",",J409,",",K409,",",L409,",",M409,",",N409,",",O409,",",P409,",",Q409,",",R409,",",S409,",",T409,",",U409,",",V409,",",W409,"},//",Y392,Y409)</f>
        <v>/*17*/{" ","","","","",false,false,false,false,10.0,1,0,0,0.0,0.0,0.0,false,false,false,0},//</v>
      </c>
      <c r="AD409" s="12" t="str">
        <f t="shared" si="184"/>
        <v/>
      </c>
      <c r="AE409" s="12" t="str">
        <f t="shared" si="180"/>
        <v/>
      </c>
      <c r="AH409" s="12" t="str">
        <f t="shared" si="181"/>
        <v/>
      </c>
      <c r="AI409" s="12" t="str">
        <f t="shared" si="182"/>
        <v/>
      </c>
      <c r="AJ409" s="12" t="str">
        <f t="shared" si="183"/>
        <v/>
      </c>
    </row>
    <row r="410" spans="1:36" x14ac:dyDescent="0.25">
      <c r="A410" s="17">
        <f t="shared" si="178"/>
        <v>18</v>
      </c>
      <c r="B410" s="8" t="s">
        <v>44</v>
      </c>
      <c r="C410" s="4" t="s">
        <v>24</v>
      </c>
      <c r="D410" s="5" t="s">
        <v>0</v>
      </c>
      <c r="E410" s="5"/>
      <c r="F410" s="5" t="s">
        <v>1</v>
      </c>
      <c r="G410" s="5" t="s">
        <v>1</v>
      </c>
      <c r="H410" s="17" t="str">
        <f t="shared" si="172"/>
        <v>""</v>
      </c>
      <c r="I410" s="5" t="s">
        <v>46</v>
      </c>
      <c r="J410" s="5" t="s">
        <v>46</v>
      </c>
      <c r="K410" s="5" t="s">
        <v>46</v>
      </c>
      <c r="L410" s="5" t="s">
        <v>46</v>
      </c>
      <c r="M410" s="5" t="s">
        <v>22</v>
      </c>
      <c r="N410" s="8">
        <f t="shared" si="179"/>
        <v>1</v>
      </c>
      <c r="O410" s="5">
        <v>0</v>
      </c>
      <c r="P410" s="5">
        <v>0</v>
      </c>
      <c r="Q410" s="5" t="s">
        <v>23</v>
      </c>
      <c r="R410" s="5" t="s">
        <v>23</v>
      </c>
      <c r="S410" s="5" t="s">
        <v>23</v>
      </c>
      <c r="T410" s="5" t="s">
        <v>46</v>
      </c>
      <c r="U410" s="5" t="s">
        <v>46</v>
      </c>
      <c r="V410" s="5" t="s">
        <v>46</v>
      </c>
      <c r="W410" s="5">
        <v>0</v>
      </c>
      <c r="X410" s="10" t="s">
        <v>77</v>
      </c>
      <c r="Y410" s="10"/>
      <c r="Z410" s="10"/>
      <c r="AB410" s="2" t="str">
        <f>CONCATENATE(B410,C410,D410,",""",E410,""",",F410,",",G410,",",H410,",",I410,",",J410,",",K410,",",L410,",",M410,",",N410,",",O410,",",P410,",",Q410,",",R410,",",S410,",",T410,",",U410,",",V410,",",W410,"},//",Y392,Y410)</f>
        <v>/*18*/{" ","","","","",false,false,false,false,10.0,1,0,0,0.0,0.0,0.0,false,false,false,0},//</v>
      </c>
      <c r="AD410" s="12" t="str">
        <f t="shared" si="184"/>
        <v/>
      </c>
      <c r="AE410" s="12" t="str">
        <f t="shared" si="180"/>
        <v/>
      </c>
      <c r="AH410" s="12" t="str">
        <f t="shared" si="181"/>
        <v/>
      </c>
      <c r="AI410" s="12" t="str">
        <f t="shared" si="182"/>
        <v/>
      </c>
      <c r="AJ410" s="12" t="str">
        <f t="shared" si="183"/>
        <v/>
      </c>
    </row>
    <row r="411" spans="1:36" x14ac:dyDescent="0.25">
      <c r="A411" s="17">
        <f t="shared" si="178"/>
        <v>19</v>
      </c>
      <c r="B411" s="8" t="s">
        <v>45</v>
      </c>
      <c r="C411" s="4" t="s">
        <v>24</v>
      </c>
      <c r="D411" s="5" t="s">
        <v>0</v>
      </c>
      <c r="E411" s="5"/>
      <c r="F411" s="5" t="s">
        <v>1</v>
      </c>
      <c r="G411" s="5" t="s">
        <v>1</v>
      </c>
      <c r="H411" s="17" t="str">
        <f t="shared" si="172"/>
        <v>""</v>
      </c>
      <c r="I411" s="5" t="s">
        <v>46</v>
      </c>
      <c r="J411" s="5" t="s">
        <v>46</v>
      </c>
      <c r="K411" s="5" t="s">
        <v>46</v>
      </c>
      <c r="L411" s="5" t="s">
        <v>46</v>
      </c>
      <c r="M411" s="5" t="s">
        <v>22</v>
      </c>
      <c r="N411" s="8">
        <f t="shared" si="179"/>
        <v>1</v>
      </c>
      <c r="O411" s="5">
        <v>0</v>
      </c>
      <c r="P411" s="5">
        <v>0</v>
      </c>
      <c r="Q411" s="5" t="s">
        <v>23</v>
      </c>
      <c r="R411" s="5" t="s">
        <v>23</v>
      </c>
      <c r="S411" s="5" t="s">
        <v>23</v>
      </c>
      <c r="T411" s="5" t="s">
        <v>46</v>
      </c>
      <c r="U411" s="5" t="s">
        <v>46</v>
      </c>
      <c r="V411" s="5" t="s">
        <v>46</v>
      </c>
      <c r="W411" s="5">
        <v>0</v>
      </c>
      <c r="X411" s="10" t="s">
        <v>77</v>
      </c>
      <c r="Y411" s="10"/>
      <c r="Z411" s="10"/>
      <c r="AB411" s="2" t="str">
        <f>CONCATENATE(B411,C411,D411,",""",E411,""",",F411,",",G411,",",H411,",",I411,",",J411,",",K411,",",L411,",",M411,",",N411,",",O411,",",P411,",",Q411,",",R411,",",S411,",",T411,",",U411,",",V411,",",W411,"}//",Y392,Y411)</f>
        <v>/*19*/{" ","","","","",false,false,false,false,10.0,1,0,0,0.0,0.0,0.0,false,false,false,0}//</v>
      </c>
      <c r="AD411" s="12" t="str">
        <f t="shared" si="184"/>
        <v/>
      </c>
      <c r="AE411" s="12" t="str">
        <f t="shared" si="180"/>
        <v/>
      </c>
      <c r="AH411" s="12" t="str">
        <f t="shared" ref="AH411" si="185">IF(X411="Да",CONCATENATE("Ref.",,SUBSTITUTE(Z411," ","")," = ",$AI$1,$B$29,SUBSTITUTE(E411," ",""),";//",$Y$32,". ",Y411),"")</f>
        <v/>
      </c>
      <c r="AI411" s="12" t="str">
        <f>IF(X411="Да",CONCATENATE($AI$1,SUBSTITUTE(Z411," ","")," = Ref.",SUBSTITUTE(Z411," ",""),";//",$Y$32,". ",Y411),"")</f>
        <v/>
      </c>
      <c r="AJ411" s="12" t="str">
        <f t="shared" si="183"/>
        <v/>
      </c>
    </row>
    <row r="412" spans="1:36" x14ac:dyDescent="0.25">
      <c r="C412" s="21"/>
      <c r="D412" s="21"/>
      <c r="E412" s="5"/>
      <c r="AB412" s="3" t="s">
        <v>25</v>
      </c>
    </row>
    <row r="413" spans="1:36" x14ac:dyDescent="0.25">
      <c r="A413" s="14">
        <f>A389+1</f>
        <v>17</v>
      </c>
      <c r="D413" s="7" t="s">
        <v>71</v>
      </c>
      <c r="AB413" s="3" t="s">
        <v>51</v>
      </c>
    </row>
    <row r="414" spans="1:36" ht="45" x14ac:dyDescent="0.25">
      <c r="A414" s="15" t="s">
        <v>78</v>
      </c>
      <c r="B414" s="18"/>
      <c r="C414" s="6" t="s">
        <v>25</v>
      </c>
      <c r="D414" s="6" t="s">
        <v>17</v>
      </c>
      <c r="E414" s="6" t="s">
        <v>18</v>
      </c>
      <c r="F414" s="6" t="s">
        <v>19</v>
      </c>
      <c r="G414" s="6" t="s">
        <v>20</v>
      </c>
      <c r="H414" s="6" t="s">
        <v>21</v>
      </c>
      <c r="I414" s="6" t="s">
        <v>2</v>
      </c>
      <c r="J414" s="6" t="s">
        <v>3</v>
      </c>
      <c r="K414" s="6" t="s">
        <v>4</v>
      </c>
      <c r="L414" s="6" t="s">
        <v>5</v>
      </c>
      <c r="M414" s="6" t="s">
        <v>6</v>
      </c>
      <c r="N414" s="6" t="s">
        <v>7</v>
      </c>
      <c r="O414" s="6" t="s">
        <v>8</v>
      </c>
      <c r="P414" s="6" t="s">
        <v>9</v>
      </c>
      <c r="Q414" s="6" t="s">
        <v>10</v>
      </c>
      <c r="R414" s="6" t="s">
        <v>11</v>
      </c>
      <c r="S414" s="6" t="s">
        <v>12</v>
      </c>
      <c r="T414" s="6" t="s">
        <v>13</v>
      </c>
      <c r="U414" s="6" t="s">
        <v>14</v>
      </c>
      <c r="V414" s="6" t="s">
        <v>15</v>
      </c>
      <c r="W414" s="6" t="s">
        <v>16</v>
      </c>
      <c r="X414" s="6" t="s">
        <v>76</v>
      </c>
      <c r="Y414" s="6" t="s">
        <v>80</v>
      </c>
      <c r="Z414" s="6" t="s">
        <v>97</v>
      </c>
      <c r="AA414" s="1"/>
      <c r="AB414" s="2" t="str">
        <f>CONCATENATE(D413," - ",E416)</f>
        <v xml:space="preserve">//Экран 17 - </v>
      </c>
    </row>
    <row r="415" spans="1:36" x14ac:dyDescent="0.25">
      <c r="A415" s="16"/>
      <c r="B415" s="13"/>
      <c r="C415" s="4" t="s">
        <v>24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11"/>
      <c r="Y415" s="11"/>
      <c r="Z415" s="11"/>
      <c r="AA415" s="1"/>
      <c r="AB415" s="3" t="str">
        <f>C415</f>
        <v>{</v>
      </c>
    </row>
    <row r="416" spans="1:36" x14ac:dyDescent="0.25">
      <c r="A416" s="17">
        <v>0</v>
      </c>
      <c r="B416" s="8" t="s">
        <v>27</v>
      </c>
      <c r="C416" s="4" t="s">
        <v>24</v>
      </c>
      <c r="D416" s="5" t="s">
        <v>0</v>
      </c>
      <c r="E416" s="5"/>
      <c r="F416" s="5" t="s">
        <v>1</v>
      </c>
      <c r="G416" s="5" t="s">
        <v>1</v>
      </c>
      <c r="H416" s="17" t="str">
        <f t="shared" ref="H416:H435" si="186">IF(AND(I416="true",J416="false"),""" ""","""""")</f>
        <v>""</v>
      </c>
      <c r="I416" s="5" t="s">
        <v>46</v>
      </c>
      <c r="J416" s="5" t="s">
        <v>46</v>
      </c>
      <c r="K416" s="5" t="s">
        <v>46</v>
      </c>
      <c r="L416" s="5" t="s">
        <v>47</v>
      </c>
      <c r="M416" s="5" t="s">
        <v>22</v>
      </c>
      <c r="N416" s="8">
        <v>1</v>
      </c>
      <c r="O416" s="5">
        <v>0</v>
      </c>
      <c r="P416" s="5">
        <v>0</v>
      </c>
      <c r="Q416" s="5" t="s">
        <v>48</v>
      </c>
      <c r="R416" s="5" t="s">
        <v>23</v>
      </c>
      <c r="S416" s="5" t="s">
        <v>49</v>
      </c>
      <c r="T416" s="5" t="s">
        <v>46</v>
      </c>
      <c r="U416" s="5" t="s">
        <v>46</v>
      </c>
      <c r="V416" s="5" t="s">
        <v>46</v>
      </c>
      <c r="W416" s="5">
        <v>0</v>
      </c>
      <c r="X416" s="10" t="s">
        <v>77</v>
      </c>
      <c r="Y416" s="10"/>
      <c r="Z416" s="10"/>
      <c r="AB416" s="2" t="str">
        <f>CONCATENATE(B416,C416,D416,",""",E416,""",",F416,",",G416,",",H416,",",I416,",",J416,",",K416,",",L416,",",M416,",",N416,",",O416,",",P416,",",Q416,",",R416,",",S416,",",T416,",",U416,",",V416,",",W416,"},//",Y416)</f>
        <v>/*0*/{" ","","","","",false,false,false,true,10.0,1,0,0,100.0,0.0,0.1,false,false,false,0},//</v>
      </c>
      <c r="AD416" s="12" t="str">
        <f t="shared" ref="AD416:AD419" si="187">IF(X416="Да",CONCATENATE("float &amp;",SUBSTITUTE(Z416," ","")," = Screens[",$A$29,"][",A416,"].Param;// Ссылка. ",$Y$32,". ",Y416),"")</f>
        <v/>
      </c>
      <c r="AE416" s="12" t="str">
        <f t="shared" ref="AE416" si="188">IF(X416="Да",CONCATENATE("float ",SUBSTITUTE(Z416," ","")," = Screens[",$A$29,"][",A416,"].Param;//",$Y$32,". ",Y416),"")</f>
        <v/>
      </c>
      <c r="AH416" s="12" t="str">
        <f t="shared" ref="AH416" si="189">IF(X416="Да",CONCATENATE("Ref.",,SUBSTITUTE(Z416," ","")," = ",$AI$1,SUBSTITUTE(Z416," ",""),";//",$Y$32,". ",Y416),"")</f>
        <v/>
      </c>
      <c r="AI416" s="12" t="str">
        <f t="shared" ref="AI416" si="190">IF(X416="Да",CONCATENATE($AI$1,SUBSTITUTE(Z416," ","")," = Ref.",SUBSTITUTE(Z416," ",""),";//",$Y$32,". ",Y416),"")</f>
        <v/>
      </c>
      <c r="AJ416" s="12" t="str">
        <f t="shared" ref="AJ416" si="191">IF(X416="Да",CONCATENATE($AI$1,SUBSTITUTE(Z416," ","")," = ",M416,";//",$Y$32,". ",Y416),"")</f>
        <v/>
      </c>
    </row>
    <row r="417" spans="1:36" x14ac:dyDescent="0.25">
      <c r="A417" s="17">
        <f>A416+1</f>
        <v>1</v>
      </c>
      <c r="B417" s="8" t="s">
        <v>26</v>
      </c>
      <c r="C417" s="4" t="s">
        <v>24</v>
      </c>
      <c r="D417" s="5" t="s">
        <v>0</v>
      </c>
      <c r="E417" s="5"/>
      <c r="F417" s="5" t="s">
        <v>1</v>
      </c>
      <c r="G417" s="5" t="s">
        <v>1</v>
      </c>
      <c r="H417" s="17" t="str">
        <f t="shared" si="186"/>
        <v>""</v>
      </c>
      <c r="I417" s="5" t="s">
        <v>46</v>
      </c>
      <c r="J417" s="5" t="s">
        <v>46</v>
      </c>
      <c r="K417" s="5" t="s">
        <v>46</v>
      </c>
      <c r="L417" s="5" t="s">
        <v>46</v>
      </c>
      <c r="M417" s="5" t="s">
        <v>22</v>
      </c>
      <c r="N417" s="8">
        <f>N416</f>
        <v>1</v>
      </c>
      <c r="O417" s="5">
        <v>0</v>
      </c>
      <c r="P417" s="5">
        <v>0</v>
      </c>
      <c r="Q417" s="5" t="s">
        <v>23</v>
      </c>
      <c r="R417" s="5" t="s">
        <v>23</v>
      </c>
      <c r="S417" s="5" t="s">
        <v>23</v>
      </c>
      <c r="T417" s="5" t="s">
        <v>46</v>
      </c>
      <c r="U417" s="5" t="s">
        <v>46</v>
      </c>
      <c r="V417" s="5" t="s">
        <v>46</v>
      </c>
      <c r="W417" s="5">
        <v>0</v>
      </c>
      <c r="X417" s="10" t="s">
        <v>77</v>
      </c>
      <c r="Y417" s="10"/>
      <c r="Z417" s="10"/>
      <c r="AB417" s="2" t="str">
        <f>CONCATENATE(B417,C417,D417,",""",E417,""",",F417,",",G417,",",H417,",",I417,",",J417,",",K417,",",L417,",",M417,",",N417,",",O417,",",P417,",",Q417,",",R417,",",S417,",",T417,",",U417,",",V417,",",W417,"},//",Y416,Y417)</f>
        <v>/*1*/{" ","","","","",false,false,false,false,10.0,1,0,0,0.0,0.0,0.0,false,false,false,0},//</v>
      </c>
      <c r="AD417" s="12" t="str">
        <f t="shared" si="187"/>
        <v/>
      </c>
      <c r="AE417" s="12" t="str">
        <f>IF(X417="Да",CONCATENATE("float ",SUBSTITUTE(Z417," ","")," = Screens[",$A$29,"][",A417,"].Param;//",$Y$32,". ",Y417),"")</f>
        <v/>
      </c>
      <c r="AH417" s="12" t="str">
        <f>IF(X417="Да",CONCATENATE("Ref.",,SUBSTITUTE(Z417," ","")," = ",$AI$1,SUBSTITUTE(Z417," ",""),";//",$Y$32,". ",Y417),"")</f>
        <v/>
      </c>
      <c r="AI417" s="12" t="str">
        <f>IF(X417="Да",CONCATENATE($AI$1,SUBSTITUTE(Z417," ","")," = Ref.",SUBSTITUTE(Z417," ",""),";//",$Y$32,". ",Y417),"")</f>
        <v/>
      </c>
      <c r="AJ417" s="12" t="str">
        <f>IF(X417="Да",CONCATENATE($AI$1,SUBSTITUTE(Z417," ","")," = ",M417,";//",$Y$32,". ",Y417),"")</f>
        <v/>
      </c>
    </row>
    <row r="418" spans="1:36" x14ac:dyDescent="0.25">
      <c r="A418" s="17">
        <f t="shared" ref="A418:A435" si="192">A417+1</f>
        <v>2</v>
      </c>
      <c r="B418" s="8" t="s">
        <v>28</v>
      </c>
      <c r="C418" s="4" t="s">
        <v>24</v>
      </c>
      <c r="D418" s="5" t="s">
        <v>0</v>
      </c>
      <c r="E418" s="5"/>
      <c r="F418" s="5" t="s">
        <v>1</v>
      </c>
      <c r="G418" s="5" t="s">
        <v>1</v>
      </c>
      <c r="H418" s="17" t="str">
        <f t="shared" si="186"/>
        <v>""</v>
      </c>
      <c r="I418" s="5" t="s">
        <v>46</v>
      </c>
      <c r="J418" s="5" t="s">
        <v>46</v>
      </c>
      <c r="K418" s="5" t="s">
        <v>46</v>
      </c>
      <c r="L418" s="5" t="s">
        <v>46</v>
      </c>
      <c r="M418" s="5" t="s">
        <v>22</v>
      </c>
      <c r="N418" s="8">
        <f t="shared" ref="N418:N435" si="193">N417</f>
        <v>1</v>
      </c>
      <c r="O418" s="5">
        <v>0</v>
      </c>
      <c r="P418" s="5">
        <v>0</v>
      </c>
      <c r="Q418" s="5" t="s">
        <v>23</v>
      </c>
      <c r="R418" s="5" t="s">
        <v>23</v>
      </c>
      <c r="S418" s="5" t="s">
        <v>23</v>
      </c>
      <c r="T418" s="5" t="s">
        <v>46</v>
      </c>
      <c r="U418" s="5" t="s">
        <v>46</v>
      </c>
      <c r="V418" s="5" t="s">
        <v>46</v>
      </c>
      <c r="W418" s="5">
        <v>0</v>
      </c>
      <c r="X418" s="10" t="s">
        <v>77</v>
      </c>
      <c r="Y418" s="10"/>
      <c r="Z418" s="10"/>
      <c r="AB418" s="2" t="str">
        <f>CONCATENATE(B418,C418,D418,",""",E418,""",",F418,",",G418,",",H418,",",I418,",",J418,",",K418,",",L418,",",M418,",",N418,",",O418,",",P418,",",Q418,",",R418,",",S418,",",T418,",",U418,",",V418,",",W418,"},//",Y416,Y418)</f>
        <v>/*2*/{" ","","","","",false,false,false,false,10.0,1,0,0,0.0,0.0,0.0,false,false,false,0},//</v>
      </c>
      <c r="AD418" s="12" t="str">
        <f t="shared" si="187"/>
        <v/>
      </c>
      <c r="AE418" s="12" t="str">
        <f t="shared" ref="AE418:AE435" si="194">IF(X418="Да",CONCATENATE("float ",SUBSTITUTE(Z418," ","")," = Screens[",$A$29,"][",A418,"].Param;//",$Y$32,". ",Y418),"")</f>
        <v/>
      </c>
      <c r="AH418" s="12" t="str">
        <f t="shared" ref="AH418:AH434" si="195">IF(X418="Да",CONCATENATE("Ref.",,SUBSTITUTE(Z418," ","")," = ",$AI$1,SUBSTITUTE(Z418," ",""),";//",$Y$32,". ",Y418),"")</f>
        <v/>
      </c>
      <c r="AI418" s="12" t="str">
        <f t="shared" ref="AI418:AI434" si="196">IF(X418="Да",CONCATENATE($AI$1,SUBSTITUTE(Z418," ","")," = Ref.",SUBSTITUTE(Z418," ",""),";//",$Y$32,". ",Y418),"")</f>
        <v/>
      </c>
      <c r="AJ418" s="12" t="str">
        <f t="shared" ref="AJ418:AJ435" si="197">IF(X418="Да",CONCATENATE($AI$1,SUBSTITUTE(Z418," ","")," = ",M418,";//",$Y$32,". ",Y418),"")</f>
        <v/>
      </c>
    </row>
    <row r="419" spans="1:36" x14ac:dyDescent="0.25">
      <c r="A419" s="17">
        <f t="shared" si="192"/>
        <v>3</v>
      </c>
      <c r="B419" s="8" t="s">
        <v>29</v>
      </c>
      <c r="C419" s="4" t="s">
        <v>24</v>
      </c>
      <c r="D419" s="5" t="s">
        <v>0</v>
      </c>
      <c r="E419" s="5"/>
      <c r="F419" s="5" t="s">
        <v>1</v>
      </c>
      <c r="G419" s="5" t="s">
        <v>1</v>
      </c>
      <c r="H419" s="17" t="str">
        <f t="shared" si="186"/>
        <v>""</v>
      </c>
      <c r="I419" s="5" t="s">
        <v>46</v>
      </c>
      <c r="J419" s="5" t="s">
        <v>46</v>
      </c>
      <c r="K419" s="5" t="s">
        <v>46</v>
      </c>
      <c r="L419" s="5" t="s">
        <v>46</v>
      </c>
      <c r="M419" s="5" t="s">
        <v>22</v>
      </c>
      <c r="N419" s="8">
        <f t="shared" si="193"/>
        <v>1</v>
      </c>
      <c r="O419" s="5">
        <v>2</v>
      </c>
      <c r="P419" s="5">
        <v>0</v>
      </c>
      <c r="Q419" s="5" t="s">
        <v>23</v>
      </c>
      <c r="R419" s="5" t="s">
        <v>23</v>
      </c>
      <c r="S419" s="5" t="s">
        <v>23</v>
      </c>
      <c r="T419" s="5" t="s">
        <v>46</v>
      </c>
      <c r="U419" s="5" t="s">
        <v>46</v>
      </c>
      <c r="V419" s="5" t="s">
        <v>46</v>
      </c>
      <c r="W419" s="5">
        <v>0</v>
      </c>
      <c r="X419" s="10" t="s">
        <v>77</v>
      </c>
      <c r="Y419" s="10"/>
      <c r="Z419" s="10"/>
      <c r="AB419" s="2" t="str">
        <f>CONCATENATE(B419,C419,D419,",""",E419,""",",F419,",",G419,",",H419,",",I419,",",J419,",",K419,",",L419,",",M419,",",N419,",",O419,",",P419,",",Q419,",",R419,",",S419,",",T419,",",U419,",",V419,",",W419,"},//",Y416,Y419)</f>
        <v>/*3*/{" ","","","","",false,false,false,false,10.0,1,2,0,0.0,0.0,0.0,false,false,false,0},//</v>
      </c>
      <c r="AD419" s="12" t="str">
        <f t="shared" si="187"/>
        <v/>
      </c>
      <c r="AE419" s="12" t="str">
        <f t="shared" si="194"/>
        <v/>
      </c>
      <c r="AH419" s="12" t="str">
        <f t="shared" si="195"/>
        <v/>
      </c>
      <c r="AI419" s="12" t="str">
        <f t="shared" si="196"/>
        <v/>
      </c>
      <c r="AJ419" s="12" t="str">
        <f t="shared" si="197"/>
        <v/>
      </c>
    </row>
    <row r="420" spans="1:36" x14ac:dyDescent="0.25">
      <c r="A420" s="17">
        <f t="shared" si="192"/>
        <v>4</v>
      </c>
      <c r="B420" s="8" t="s">
        <v>30</v>
      </c>
      <c r="C420" s="4" t="s">
        <v>24</v>
      </c>
      <c r="D420" s="5" t="s">
        <v>0</v>
      </c>
      <c r="E420" s="5"/>
      <c r="F420" s="5" t="s">
        <v>1</v>
      </c>
      <c r="G420" s="5" t="s">
        <v>1</v>
      </c>
      <c r="H420" s="17" t="str">
        <f t="shared" si="186"/>
        <v>""</v>
      </c>
      <c r="I420" s="5" t="s">
        <v>46</v>
      </c>
      <c r="J420" s="5" t="s">
        <v>46</v>
      </c>
      <c r="K420" s="5" t="s">
        <v>46</v>
      </c>
      <c r="L420" s="5" t="s">
        <v>46</v>
      </c>
      <c r="M420" s="5" t="s">
        <v>22</v>
      </c>
      <c r="N420" s="8">
        <f t="shared" si="193"/>
        <v>1</v>
      </c>
      <c r="O420" s="5">
        <v>0</v>
      </c>
      <c r="P420" s="5">
        <v>0</v>
      </c>
      <c r="Q420" s="5" t="s">
        <v>23</v>
      </c>
      <c r="R420" s="5" t="s">
        <v>23</v>
      </c>
      <c r="S420" s="5" t="s">
        <v>23</v>
      </c>
      <c r="T420" s="5" t="s">
        <v>46</v>
      </c>
      <c r="U420" s="5" t="s">
        <v>46</v>
      </c>
      <c r="V420" s="5" t="s">
        <v>46</v>
      </c>
      <c r="W420" s="5">
        <v>0</v>
      </c>
      <c r="X420" s="10" t="s">
        <v>77</v>
      </c>
      <c r="Y420" s="10"/>
      <c r="Z420" s="10"/>
      <c r="AB420" s="2" t="str">
        <f>CONCATENATE(B420,C420,D420,",""",E420,""",",F420,",",G420,",",H420,",",I420,",",J420,",",K420,",",L420,",",M420,",",N420,",",O420,",",P420,",",Q420,",",R420,",",S420,",",T420,",",U420,",",V420,",",W420,"},//",Y416,Y420)</f>
        <v>/*4*/{" ","","","","",false,false,false,false,10.0,1,0,0,0.0,0.0,0.0,false,false,false,0},//</v>
      </c>
      <c r="AD420" s="12" t="str">
        <f>IF(X420="Да",CONCATENATE("float &amp;",SUBSTITUTE(Z420," ","")," = Screens[",$A$29,"][",A420,"].Param;// Ссылка. ",$Y$32,". ",Y420),"")</f>
        <v/>
      </c>
      <c r="AE420" s="12" t="str">
        <f t="shared" si="194"/>
        <v/>
      </c>
      <c r="AH420" s="12" t="str">
        <f t="shared" si="195"/>
        <v/>
      </c>
      <c r="AI420" s="12" t="str">
        <f t="shared" si="196"/>
        <v/>
      </c>
      <c r="AJ420" s="12" t="str">
        <f t="shared" si="197"/>
        <v/>
      </c>
    </row>
    <row r="421" spans="1:36" x14ac:dyDescent="0.25">
      <c r="A421" s="17">
        <f t="shared" si="192"/>
        <v>5</v>
      </c>
      <c r="B421" s="8" t="s">
        <v>31</v>
      </c>
      <c r="C421" s="4" t="s">
        <v>24</v>
      </c>
      <c r="D421" s="5" t="s">
        <v>0</v>
      </c>
      <c r="E421" s="5"/>
      <c r="F421" s="5" t="s">
        <v>1</v>
      </c>
      <c r="G421" s="5" t="s">
        <v>1</v>
      </c>
      <c r="H421" s="17" t="str">
        <f t="shared" si="186"/>
        <v>""</v>
      </c>
      <c r="I421" s="5" t="s">
        <v>46</v>
      </c>
      <c r="J421" s="5" t="s">
        <v>46</v>
      </c>
      <c r="K421" s="5" t="s">
        <v>46</v>
      </c>
      <c r="L421" s="5" t="s">
        <v>46</v>
      </c>
      <c r="M421" s="5" t="s">
        <v>22</v>
      </c>
      <c r="N421" s="8">
        <f t="shared" si="193"/>
        <v>1</v>
      </c>
      <c r="O421" s="5">
        <v>0</v>
      </c>
      <c r="P421" s="5">
        <v>0</v>
      </c>
      <c r="Q421" s="5" t="s">
        <v>23</v>
      </c>
      <c r="R421" s="5" t="s">
        <v>23</v>
      </c>
      <c r="S421" s="5" t="s">
        <v>23</v>
      </c>
      <c r="T421" s="5" t="s">
        <v>46</v>
      </c>
      <c r="U421" s="5" t="s">
        <v>46</v>
      </c>
      <c r="V421" s="5" t="s">
        <v>46</v>
      </c>
      <c r="W421" s="5">
        <v>0</v>
      </c>
      <c r="X421" s="10" t="s">
        <v>77</v>
      </c>
      <c r="Y421" s="10"/>
      <c r="Z421" s="10"/>
      <c r="AB421" s="2" t="str">
        <f>CONCATENATE(B421,C421,D421,",""",E421,""",",F421,",",G421,",",H421,",",I421,",",J421,",",K421,",",L421,",",M421,",",N421,",",O421,",",P421,",",Q421,",",R421,",",S421,",",T421,",",U421,",",V421,",",W421,"},//",Y416,Y421)</f>
        <v>/*5*/{" ","","","","",false,false,false,false,10.0,1,0,0,0.0,0.0,0.0,false,false,false,0},//</v>
      </c>
      <c r="AD421" s="12" t="str">
        <f t="shared" ref="AD421:AD435" si="198">IF(X421="Да",CONCATENATE("float &amp;",SUBSTITUTE(Z421," ","")," = Screens[",$A$29,"][",A421,"].Param;// Ссылка. ",$Y$32,". ",Y421),"")</f>
        <v/>
      </c>
      <c r="AE421" s="12" t="str">
        <f t="shared" si="194"/>
        <v/>
      </c>
      <c r="AH421" s="12" t="str">
        <f t="shared" si="195"/>
        <v/>
      </c>
      <c r="AI421" s="12" t="str">
        <f t="shared" si="196"/>
        <v/>
      </c>
      <c r="AJ421" s="12" t="str">
        <f t="shared" si="197"/>
        <v/>
      </c>
    </row>
    <row r="422" spans="1:36" x14ac:dyDescent="0.25">
      <c r="A422" s="17">
        <f t="shared" si="192"/>
        <v>6</v>
      </c>
      <c r="B422" s="8" t="s">
        <v>32</v>
      </c>
      <c r="C422" s="4" t="s">
        <v>24</v>
      </c>
      <c r="D422" s="5" t="s">
        <v>0</v>
      </c>
      <c r="E422" s="5"/>
      <c r="F422" s="5" t="s">
        <v>1</v>
      </c>
      <c r="G422" s="5" t="s">
        <v>1</v>
      </c>
      <c r="H422" s="17" t="str">
        <f t="shared" si="186"/>
        <v>""</v>
      </c>
      <c r="I422" s="5" t="s">
        <v>46</v>
      </c>
      <c r="J422" s="5" t="s">
        <v>46</v>
      </c>
      <c r="K422" s="5" t="s">
        <v>46</v>
      </c>
      <c r="L422" s="5" t="s">
        <v>46</v>
      </c>
      <c r="M422" s="5" t="s">
        <v>22</v>
      </c>
      <c r="N422" s="8">
        <f t="shared" si="193"/>
        <v>1</v>
      </c>
      <c r="O422" s="5">
        <v>0</v>
      </c>
      <c r="P422" s="5">
        <v>0</v>
      </c>
      <c r="Q422" s="5" t="s">
        <v>23</v>
      </c>
      <c r="R422" s="5" t="s">
        <v>23</v>
      </c>
      <c r="S422" s="5" t="s">
        <v>23</v>
      </c>
      <c r="T422" s="5" t="s">
        <v>46</v>
      </c>
      <c r="U422" s="5" t="s">
        <v>46</v>
      </c>
      <c r="V422" s="5" t="s">
        <v>46</v>
      </c>
      <c r="W422" s="5">
        <v>0</v>
      </c>
      <c r="X422" s="10" t="s">
        <v>77</v>
      </c>
      <c r="Y422" s="10"/>
      <c r="Z422" s="10"/>
      <c r="AB422" s="2" t="str">
        <f>CONCATENATE(B422,C422,D422,",""",E422,""",",F422,",",G422,",",H422,",",I422,",",J422,",",K422,",",L422,",",M422,",",N422,",",O422,",",P422,",",Q422,",",R422,",",S422,",",T422,",",U422,",",V422,",",W422,"},//",Y416,Y422)</f>
        <v>/*6*/{" ","","","","",false,false,false,false,10.0,1,0,0,0.0,0.0,0.0,false,false,false,0},//</v>
      </c>
      <c r="AD422" s="12" t="str">
        <f t="shared" si="198"/>
        <v/>
      </c>
      <c r="AE422" s="12" t="str">
        <f t="shared" si="194"/>
        <v/>
      </c>
      <c r="AH422" s="12" t="str">
        <f t="shared" si="195"/>
        <v/>
      </c>
      <c r="AI422" s="12" t="str">
        <f t="shared" si="196"/>
        <v/>
      </c>
      <c r="AJ422" s="12" t="str">
        <f t="shared" si="197"/>
        <v/>
      </c>
    </row>
    <row r="423" spans="1:36" x14ac:dyDescent="0.25">
      <c r="A423" s="17">
        <f t="shared" si="192"/>
        <v>7</v>
      </c>
      <c r="B423" s="8" t="s">
        <v>33</v>
      </c>
      <c r="C423" s="4" t="s">
        <v>24</v>
      </c>
      <c r="D423" s="5" t="s">
        <v>0</v>
      </c>
      <c r="E423" s="5"/>
      <c r="F423" s="5" t="s">
        <v>1</v>
      </c>
      <c r="G423" s="5" t="s">
        <v>1</v>
      </c>
      <c r="H423" s="17" t="str">
        <f t="shared" si="186"/>
        <v>""</v>
      </c>
      <c r="I423" s="5" t="s">
        <v>46</v>
      </c>
      <c r="J423" s="5" t="s">
        <v>46</v>
      </c>
      <c r="K423" s="5" t="s">
        <v>46</v>
      </c>
      <c r="L423" s="5" t="s">
        <v>46</v>
      </c>
      <c r="M423" s="5" t="s">
        <v>22</v>
      </c>
      <c r="N423" s="8">
        <f t="shared" si="193"/>
        <v>1</v>
      </c>
      <c r="O423" s="5">
        <v>0</v>
      </c>
      <c r="P423" s="5">
        <v>0</v>
      </c>
      <c r="Q423" s="5" t="s">
        <v>23</v>
      </c>
      <c r="R423" s="5" t="s">
        <v>23</v>
      </c>
      <c r="S423" s="5" t="s">
        <v>23</v>
      </c>
      <c r="T423" s="5" t="s">
        <v>46</v>
      </c>
      <c r="U423" s="5" t="s">
        <v>46</v>
      </c>
      <c r="V423" s="5" t="s">
        <v>46</v>
      </c>
      <c r="W423" s="5">
        <v>0</v>
      </c>
      <c r="X423" s="10" t="s">
        <v>77</v>
      </c>
      <c r="Y423" s="10"/>
      <c r="Z423" s="10"/>
      <c r="AB423" s="2" t="str">
        <f>CONCATENATE(B423,C423,D423,",""",E423,""",",F423,",",G423,",",H423,",",I423,",",J423,",",K423,",",L423,",",M423,",",N423,",",O423,",",P423,",",Q423,",",R423,",",S423,",",T423,",",U423,",",V423,",",W423,"},//",Y416,Y423)</f>
        <v>/*7*/{" ","","","","",false,false,false,false,10.0,1,0,0,0.0,0.0,0.0,false,false,false,0},//</v>
      </c>
      <c r="AD423" s="12" t="str">
        <f t="shared" si="198"/>
        <v/>
      </c>
      <c r="AE423" s="12" t="str">
        <f t="shared" si="194"/>
        <v/>
      </c>
      <c r="AH423" s="12" t="str">
        <f t="shared" si="195"/>
        <v/>
      </c>
      <c r="AI423" s="12" t="str">
        <f t="shared" si="196"/>
        <v/>
      </c>
      <c r="AJ423" s="12" t="str">
        <f t="shared" si="197"/>
        <v/>
      </c>
    </row>
    <row r="424" spans="1:36" x14ac:dyDescent="0.25">
      <c r="A424" s="17">
        <f t="shared" si="192"/>
        <v>8</v>
      </c>
      <c r="B424" s="8" t="s">
        <v>34</v>
      </c>
      <c r="C424" s="4" t="s">
        <v>24</v>
      </c>
      <c r="D424" s="5" t="s">
        <v>0</v>
      </c>
      <c r="E424" s="5"/>
      <c r="F424" s="5" t="s">
        <v>1</v>
      </c>
      <c r="G424" s="5" t="s">
        <v>1</v>
      </c>
      <c r="H424" s="17" t="str">
        <f t="shared" si="186"/>
        <v>""</v>
      </c>
      <c r="I424" s="5" t="s">
        <v>46</v>
      </c>
      <c r="J424" s="5" t="s">
        <v>46</v>
      </c>
      <c r="K424" s="5" t="s">
        <v>46</v>
      </c>
      <c r="L424" s="5" t="s">
        <v>46</v>
      </c>
      <c r="M424" s="5" t="s">
        <v>22</v>
      </c>
      <c r="N424" s="8">
        <f t="shared" si="193"/>
        <v>1</v>
      </c>
      <c r="O424" s="5">
        <v>0</v>
      </c>
      <c r="P424" s="5">
        <v>0</v>
      </c>
      <c r="Q424" s="5" t="s">
        <v>23</v>
      </c>
      <c r="R424" s="5" t="s">
        <v>23</v>
      </c>
      <c r="S424" s="5" t="s">
        <v>23</v>
      </c>
      <c r="T424" s="5" t="s">
        <v>46</v>
      </c>
      <c r="U424" s="5" t="s">
        <v>46</v>
      </c>
      <c r="V424" s="5" t="s">
        <v>46</v>
      </c>
      <c r="W424" s="5">
        <v>0</v>
      </c>
      <c r="X424" s="10" t="s">
        <v>77</v>
      </c>
      <c r="Y424" s="10"/>
      <c r="Z424" s="10"/>
      <c r="AB424" s="2" t="str">
        <f>CONCATENATE(B424,C424,D424,",""",E424,""",",F424,",",G424,",",H424,",",I424,",",J424,",",K424,",",L424,",",M424,",",N424,",",O424,",",P424,",",Q424,",",R424,",",S424,",",T424,",",U424,",",V424,",",W424,"},//",Y416,Y424)</f>
        <v>/*8*/{" ","","","","",false,false,false,false,10.0,1,0,0,0.0,0.0,0.0,false,false,false,0},//</v>
      </c>
      <c r="AD424" s="12" t="str">
        <f t="shared" si="198"/>
        <v/>
      </c>
      <c r="AE424" s="12" t="str">
        <f t="shared" si="194"/>
        <v/>
      </c>
      <c r="AH424" s="12" t="str">
        <f t="shared" si="195"/>
        <v/>
      </c>
      <c r="AI424" s="12" t="str">
        <f t="shared" si="196"/>
        <v/>
      </c>
      <c r="AJ424" s="12" t="str">
        <f t="shared" si="197"/>
        <v/>
      </c>
    </row>
    <row r="425" spans="1:36" x14ac:dyDescent="0.25">
      <c r="A425" s="17">
        <f t="shared" si="192"/>
        <v>9</v>
      </c>
      <c r="B425" s="8" t="s">
        <v>35</v>
      </c>
      <c r="C425" s="4" t="s">
        <v>24</v>
      </c>
      <c r="D425" s="5" t="s">
        <v>0</v>
      </c>
      <c r="E425" s="5"/>
      <c r="F425" s="5" t="s">
        <v>1</v>
      </c>
      <c r="G425" s="5" t="s">
        <v>1</v>
      </c>
      <c r="H425" s="17" t="str">
        <f t="shared" si="186"/>
        <v>""</v>
      </c>
      <c r="I425" s="5" t="s">
        <v>46</v>
      </c>
      <c r="J425" s="5" t="s">
        <v>46</v>
      </c>
      <c r="K425" s="5" t="s">
        <v>46</v>
      </c>
      <c r="L425" s="5" t="s">
        <v>46</v>
      </c>
      <c r="M425" s="5" t="s">
        <v>22</v>
      </c>
      <c r="N425" s="8">
        <f t="shared" si="193"/>
        <v>1</v>
      </c>
      <c r="O425" s="5">
        <v>0</v>
      </c>
      <c r="P425" s="5">
        <v>0</v>
      </c>
      <c r="Q425" s="5" t="s">
        <v>23</v>
      </c>
      <c r="R425" s="5" t="s">
        <v>23</v>
      </c>
      <c r="S425" s="5" t="s">
        <v>23</v>
      </c>
      <c r="T425" s="5" t="s">
        <v>46</v>
      </c>
      <c r="U425" s="5" t="s">
        <v>46</v>
      </c>
      <c r="V425" s="5" t="s">
        <v>46</v>
      </c>
      <c r="W425" s="5">
        <v>0</v>
      </c>
      <c r="X425" s="10" t="s">
        <v>77</v>
      </c>
      <c r="Y425" s="10"/>
      <c r="Z425" s="10"/>
      <c r="AB425" s="2" t="str">
        <f>CONCATENATE(B425,C425,D425,",""",E425,""",",F425,",",G425,",",H425,",",I425,",",J425,",",K425,",",L425,",",M425,",",N425,",",O425,",",P425,",",Q425,",",R425,",",S425,",",T425,",",U425,",",V425,",",W425,"},//",Y416,Y425)</f>
        <v>/*9*/{" ","","","","",false,false,false,false,10.0,1,0,0,0.0,0.0,0.0,false,false,false,0},//</v>
      </c>
      <c r="AD425" s="12" t="str">
        <f t="shared" si="198"/>
        <v/>
      </c>
      <c r="AE425" s="12" t="str">
        <f t="shared" si="194"/>
        <v/>
      </c>
      <c r="AH425" s="12" t="str">
        <f t="shared" si="195"/>
        <v/>
      </c>
      <c r="AI425" s="12" t="str">
        <f t="shared" si="196"/>
        <v/>
      </c>
      <c r="AJ425" s="12" t="str">
        <f t="shared" si="197"/>
        <v/>
      </c>
    </row>
    <row r="426" spans="1:36" x14ac:dyDescent="0.25">
      <c r="A426" s="17">
        <f t="shared" si="192"/>
        <v>10</v>
      </c>
      <c r="B426" s="8" t="s">
        <v>36</v>
      </c>
      <c r="C426" s="4" t="s">
        <v>24</v>
      </c>
      <c r="D426" s="5" t="s">
        <v>0</v>
      </c>
      <c r="E426" s="5"/>
      <c r="F426" s="5" t="s">
        <v>1</v>
      </c>
      <c r="G426" s="5" t="s">
        <v>1</v>
      </c>
      <c r="H426" s="17" t="str">
        <f t="shared" si="186"/>
        <v>""</v>
      </c>
      <c r="I426" s="5" t="s">
        <v>46</v>
      </c>
      <c r="J426" s="5" t="s">
        <v>46</v>
      </c>
      <c r="K426" s="5" t="s">
        <v>46</v>
      </c>
      <c r="L426" s="5" t="s">
        <v>46</v>
      </c>
      <c r="M426" s="5" t="s">
        <v>22</v>
      </c>
      <c r="N426" s="8">
        <f t="shared" si="193"/>
        <v>1</v>
      </c>
      <c r="O426" s="5">
        <v>0</v>
      </c>
      <c r="P426" s="5">
        <v>0</v>
      </c>
      <c r="Q426" s="5" t="s">
        <v>23</v>
      </c>
      <c r="R426" s="5" t="s">
        <v>23</v>
      </c>
      <c r="S426" s="5" t="s">
        <v>23</v>
      </c>
      <c r="T426" s="5" t="s">
        <v>46</v>
      </c>
      <c r="U426" s="5" t="s">
        <v>46</v>
      </c>
      <c r="V426" s="5" t="s">
        <v>46</v>
      </c>
      <c r="W426" s="5">
        <v>0</v>
      </c>
      <c r="X426" s="10" t="s">
        <v>77</v>
      </c>
      <c r="Y426" s="10"/>
      <c r="Z426" s="10"/>
      <c r="AB426" s="2" t="str">
        <f>CONCATENATE(B426,C426,D426,",""",E426,""",",F426,",",G426,",",H426,",",I426,",",J426,",",K426,",",L426,",",M426,",",N426,",",O426,",",P426,",",Q426,",",R426,",",S426,",",T426,",",U426,",",V426,",",W426,"},//",Y416,Y426)</f>
        <v>/*10*/{" ","","","","",false,false,false,false,10.0,1,0,0,0.0,0.0,0.0,false,false,false,0},//</v>
      </c>
      <c r="AD426" s="12" t="str">
        <f t="shared" si="198"/>
        <v/>
      </c>
      <c r="AE426" s="12" t="str">
        <f t="shared" si="194"/>
        <v/>
      </c>
      <c r="AH426" s="12" t="str">
        <f t="shared" si="195"/>
        <v/>
      </c>
      <c r="AI426" s="12" t="str">
        <f t="shared" si="196"/>
        <v/>
      </c>
      <c r="AJ426" s="12" t="str">
        <f t="shared" si="197"/>
        <v/>
      </c>
    </row>
    <row r="427" spans="1:36" x14ac:dyDescent="0.25">
      <c r="A427" s="17">
        <f t="shared" si="192"/>
        <v>11</v>
      </c>
      <c r="B427" s="8" t="s">
        <v>37</v>
      </c>
      <c r="C427" s="4" t="s">
        <v>24</v>
      </c>
      <c r="D427" s="5" t="s">
        <v>0</v>
      </c>
      <c r="E427" s="5"/>
      <c r="F427" s="5" t="s">
        <v>1</v>
      </c>
      <c r="G427" s="5" t="s">
        <v>1</v>
      </c>
      <c r="H427" s="17" t="str">
        <f t="shared" si="186"/>
        <v>""</v>
      </c>
      <c r="I427" s="5" t="s">
        <v>46</v>
      </c>
      <c r="J427" s="5" t="s">
        <v>46</v>
      </c>
      <c r="K427" s="5" t="s">
        <v>46</v>
      </c>
      <c r="L427" s="5" t="s">
        <v>46</v>
      </c>
      <c r="M427" s="5" t="s">
        <v>22</v>
      </c>
      <c r="N427" s="8">
        <f t="shared" si="193"/>
        <v>1</v>
      </c>
      <c r="O427" s="5">
        <v>0</v>
      </c>
      <c r="P427" s="5">
        <v>0</v>
      </c>
      <c r="Q427" s="5" t="s">
        <v>23</v>
      </c>
      <c r="R427" s="5" t="s">
        <v>23</v>
      </c>
      <c r="S427" s="5" t="s">
        <v>23</v>
      </c>
      <c r="T427" s="5" t="s">
        <v>46</v>
      </c>
      <c r="U427" s="5" t="s">
        <v>46</v>
      </c>
      <c r="V427" s="5" t="s">
        <v>46</v>
      </c>
      <c r="W427" s="5">
        <v>0</v>
      </c>
      <c r="X427" s="10" t="s">
        <v>77</v>
      </c>
      <c r="Y427" s="10"/>
      <c r="Z427" s="10"/>
      <c r="AB427" s="2" t="str">
        <f>CONCATENATE(B427,C427,D427,",""",E427,""",",F427,",",G427,",",H427,",",I427,",",J427,",",K427,",",L427,",",M427,",",N427,",",O427,",",P427,",",Q427,",",R427,",",S427,",",T427,",",U427,",",V427,",",W427,"},//",Y416,Y427)</f>
        <v>/*11*/{" ","","","","",false,false,false,false,10.0,1,0,0,0.0,0.0,0.0,false,false,false,0},//</v>
      </c>
      <c r="AD427" s="12" t="str">
        <f t="shared" si="198"/>
        <v/>
      </c>
      <c r="AE427" s="12" t="str">
        <f t="shared" si="194"/>
        <v/>
      </c>
      <c r="AH427" s="12" t="str">
        <f t="shared" si="195"/>
        <v/>
      </c>
      <c r="AI427" s="12" t="str">
        <f t="shared" si="196"/>
        <v/>
      </c>
      <c r="AJ427" s="12" t="str">
        <f t="shared" si="197"/>
        <v/>
      </c>
    </row>
    <row r="428" spans="1:36" x14ac:dyDescent="0.25">
      <c r="A428" s="17">
        <f t="shared" si="192"/>
        <v>12</v>
      </c>
      <c r="B428" s="8" t="s">
        <v>38</v>
      </c>
      <c r="C428" s="4" t="s">
        <v>24</v>
      </c>
      <c r="D428" s="5" t="s">
        <v>0</v>
      </c>
      <c r="E428" s="5"/>
      <c r="F428" s="5" t="s">
        <v>1</v>
      </c>
      <c r="G428" s="5" t="s">
        <v>1</v>
      </c>
      <c r="H428" s="17" t="str">
        <f t="shared" si="186"/>
        <v>""</v>
      </c>
      <c r="I428" s="5" t="s">
        <v>46</v>
      </c>
      <c r="J428" s="5" t="s">
        <v>46</v>
      </c>
      <c r="K428" s="5" t="s">
        <v>46</v>
      </c>
      <c r="L428" s="5" t="s">
        <v>46</v>
      </c>
      <c r="M428" s="5" t="s">
        <v>22</v>
      </c>
      <c r="N428" s="8">
        <f t="shared" si="193"/>
        <v>1</v>
      </c>
      <c r="O428" s="5">
        <v>0</v>
      </c>
      <c r="P428" s="5">
        <v>0</v>
      </c>
      <c r="Q428" s="5" t="s">
        <v>23</v>
      </c>
      <c r="R428" s="5" t="s">
        <v>23</v>
      </c>
      <c r="S428" s="5" t="s">
        <v>23</v>
      </c>
      <c r="T428" s="5" t="s">
        <v>46</v>
      </c>
      <c r="U428" s="5" t="s">
        <v>46</v>
      </c>
      <c r="V428" s="5" t="s">
        <v>46</v>
      </c>
      <c r="W428" s="5">
        <v>0</v>
      </c>
      <c r="X428" s="10" t="s">
        <v>77</v>
      </c>
      <c r="Y428" s="10"/>
      <c r="Z428" s="10"/>
      <c r="AB428" s="2" t="str">
        <f>CONCATENATE(B428,C428,D428,",""",E428,""",",F428,",",G428,",",H428,",",I428,",",J428,",",K428,",",L428,",",M428,",",N428,",",O428,",",P428,",",Q428,",",R428,",",S428,",",T428,",",U428,",",V428,",",W428,"},//",Y416,Y428)</f>
        <v>/*12*/{" ","","","","",false,false,false,false,10.0,1,0,0,0.0,0.0,0.0,false,false,false,0},//</v>
      </c>
      <c r="AD428" s="12" t="str">
        <f t="shared" si="198"/>
        <v/>
      </c>
      <c r="AE428" s="12" t="str">
        <f t="shared" si="194"/>
        <v/>
      </c>
      <c r="AH428" s="12" t="str">
        <f t="shared" si="195"/>
        <v/>
      </c>
      <c r="AI428" s="12" t="str">
        <f t="shared" si="196"/>
        <v/>
      </c>
      <c r="AJ428" s="12" t="str">
        <f t="shared" si="197"/>
        <v/>
      </c>
    </row>
    <row r="429" spans="1:36" x14ac:dyDescent="0.25">
      <c r="A429" s="17">
        <f t="shared" si="192"/>
        <v>13</v>
      </c>
      <c r="B429" s="8" t="s">
        <v>39</v>
      </c>
      <c r="C429" s="4" t="s">
        <v>24</v>
      </c>
      <c r="D429" s="5" t="s">
        <v>0</v>
      </c>
      <c r="E429" s="5"/>
      <c r="F429" s="5" t="s">
        <v>1</v>
      </c>
      <c r="G429" s="5" t="s">
        <v>1</v>
      </c>
      <c r="H429" s="17" t="str">
        <f t="shared" si="186"/>
        <v>""</v>
      </c>
      <c r="I429" s="5" t="s">
        <v>46</v>
      </c>
      <c r="J429" s="5" t="s">
        <v>46</v>
      </c>
      <c r="K429" s="5" t="s">
        <v>46</v>
      </c>
      <c r="L429" s="5" t="s">
        <v>46</v>
      </c>
      <c r="M429" s="5" t="s">
        <v>22</v>
      </c>
      <c r="N429" s="8">
        <f t="shared" si="193"/>
        <v>1</v>
      </c>
      <c r="O429" s="5">
        <v>0</v>
      </c>
      <c r="P429" s="5">
        <v>0</v>
      </c>
      <c r="Q429" s="5" t="s">
        <v>23</v>
      </c>
      <c r="R429" s="5" t="s">
        <v>23</v>
      </c>
      <c r="S429" s="5" t="s">
        <v>23</v>
      </c>
      <c r="T429" s="5" t="s">
        <v>46</v>
      </c>
      <c r="U429" s="5" t="s">
        <v>46</v>
      </c>
      <c r="V429" s="5" t="s">
        <v>46</v>
      </c>
      <c r="W429" s="5">
        <v>0</v>
      </c>
      <c r="X429" s="10" t="s">
        <v>77</v>
      </c>
      <c r="Y429" s="10"/>
      <c r="Z429" s="10"/>
      <c r="AB429" s="2" t="str">
        <f>CONCATENATE(B429,C429,D429,",""",E429,""",",F429,",",G429,",",H429,",",I429,",",J429,",",K429,",",L429,",",M429,",",N429,",",O429,",",P429,",",Q429,",",R429,",",S429,",",T429,",",U429,",",V429,",",W429,"},//",Y416,Y429)</f>
        <v>/*13*/{" ","","","","",false,false,false,false,10.0,1,0,0,0.0,0.0,0.0,false,false,false,0},//</v>
      </c>
      <c r="AD429" s="12" t="str">
        <f t="shared" si="198"/>
        <v/>
      </c>
      <c r="AE429" s="12" t="str">
        <f t="shared" si="194"/>
        <v/>
      </c>
      <c r="AH429" s="12" t="str">
        <f t="shared" si="195"/>
        <v/>
      </c>
      <c r="AI429" s="12" t="str">
        <f t="shared" si="196"/>
        <v/>
      </c>
      <c r="AJ429" s="12" t="str">
        <f t="shared" si="197"/>
        <v/>
      </c>
    </row>
    <row r="430" spans="1:36" x14ac:dyDescent="0.25">
      <c r="A430" s="17">
        <f t="shared" si="192"/>
        <v>14</v>
      </c>
      <c r="B430" s="8" t="s">
        <v>40</v>
      </c>
      <c r="C430" s="4" t="s">
        <v>24</v>
      </c>
      <c r="D430" s="5" t="s">
        <v>0</v>
      </c>
      <c r="E430" s="5"/>
      <c r="F430" s="5" t="s">
        <v>1</v>
      </c>
      <c r="G430" s="5" t="s">
        <v>1</v>
      </c>
      <c r="H430" s="17" t="str">
        <f t="shared" si="186"/>
        <v>""</v>
      </c>
      <c r="I430" s="5" t="s">
        <v>46</v>
      </c>
      <c r="J430" s="5" t="s">
        <v>46</v>
      </c>
      <c r="K430" s="5" t="s">
        <v>46</v>
      </c>
      <c r="L430" s="5" t="s">
        <v>46</v>
      </c>
      <c r="M430" s="5" t="s">
        <v>22</v>
      </c>
      <c r="N430" s="8">
        <f t="shared" si="193"/>
        <v>1</v>
      </c>
      <c r="O430" s="5">
        <v>0</v>
      </c>
      <c r="P430" s="5">
        <v>0</v>
      </c>
      <c r="Q430" s="5" t="s">
        <v>23</v>
      </c>
      <c r="R430" s="5" t="s">
        <v>23</v>
      </c>
      <c r="S430" s="5" t="s">
        <v>23</v>
      </c>
      <c r="T430" s="5" t="s">
        <v>46</v>
      </c>
      <c r="U430" s="5" t="s">
        <v>46</v>
      </c>
      <c r="V430" s="5" t="s">
        <v>46</v>
      </c>
      <c r="W430" s="5">
        <v>0</v>
      </c>
      <c r="X430" s="10" t="s">
        <v>77</v>
      </c>
      <c r="Y430" s="10"/>
      <c r="Z430" s="10"/>
      <c r="AB430" s="2" t="str">
        <f>CONCATENATE(B430,C430,D430,",""",E430,""",",F430,",",G430,",",H430,",",I430,",",J430,",",K430,",",L430,",",M430,",",N430,",",O430,",",P430,",",Q430,",",R430,",",S430,",",T430,",",U430,",",V430,",",W430,"},//",Y416,Y430)</f>
        <v>/*14*/{" ","","","","",false,false,false,false,10.0,1,0,0,0.0,0.0,0.0,false,false,false,0},//</v>
      </c>
      <c r="AD430" s="12" t="str">
        <f t="shared" si="198"/>
        <v/>
      </c>
      <c r="AE430" s="12" t="str">
        <f t="shared" si="194"/>
        <v/>
      </c>
      <c r="AH430" s="12" t="str">
        <f t="shared" si="195"/>
        <v/>
      </c>
      <c r="AI430" s="12" t="str">
        <f t="shared" si="196"/>
        <v/>
      </c>
      <c r="AJ430" s="12" t="str">
        <f t="shared" si="197"/>
        <v/>
      </c>
    </row>
    <row r="431" spans="1:36" x14ac:dyDescent="0.25">
      <c r="A431" s="17">
        <f t="shared" si="192"/>
        <v>15</v>
      </c>
      <c r="B431" s="8" t="s">
        <v>41</v>
      </c>
      <c r="C431" s="4" t="s">
        <v>24</v>
      </c>
      <c r="D431" s="5" t="s">
        <v>0</v>
      </c>
      <c r="E431" s="5"/>
      <c r="F431" s="5" t="s">
        <v>1</v>
      </c>
      <c r="G431" s="5" t="s">
        <v>1</v>
      </c>
      <c r="H431" s="17" t="str">
        <f t="shared" si="186"/>
        <v>""</v>
      </c>
      <c r="I431" s="5" t="s">
        <v>46</v>
      </c>
      <c r="J431" s="5" t="s">
        <v>46</v>
      </c>
      <c r="K431" s="5" t="s">
        <v>46</v>
      </c>
      <c r="L431" s="5" t="s">
        <v>46</v>
      </c>
      <c r="M431" s="5" t="s">
        <v>22</v>
      </c>
      <c r="N431" s="8">
        <f t="shared" si="193"/>
        <v>1</v>
      </c>
      <c r="O431" s="5">
        <v>0</v>
      </c>
      <c r="P431" s="5">
        <v>0</v>
      </c>
      <c r="Q431" s="5" t="s">
        <v>23</v>
      </c>
      <c r="R431" s="5" t="s">
        <v>23</v>
      </c>
      <c r="S431" s="5" t="s">
        <v>23</v>
      </c>
      <c r="T431" s="5" t="s">
        <v>46</v>
      </c>
      <c r="U431" s="5" t="s">
        <v>46</v>
      </c>
      <c r="V431" s="5" t="s">
        <v>46</v>
      </c>
      <c r="W431" s="5">
        <v>0</v>
      </c>
      <c r="X431" s="10" t="s">
        <v>77</v>
      </c>
      <c r="Y431" s="10"/>
      <c r="Z431" s="10"/>
      <c r="AB431" s="2" t="str">
        <f>CONCATENATE(B431,C431,D431,",""",E431,""",",F431,",",G431,",",H431,",",I431,",",J431,",",K431,",",L431,",",M431,",",N431,",",O431,",",P431,",",Q431,",",R431,",",S431,",",T431,",",U431,",",V431,",",W431,"},//",Y416,Y431)</f>
        <v>/*15*/{" ","","","","",false,false,false,false,10.0,1,0,0,0.0,0.0,0.0,false,false,false,0},//</v>
      </c>
      <c r="AD431" s="12" t="str">
        <f t="shared" si="198"/>
        <v/>
      </c>
      <c r="AE431" s="12" t="str">
        <f t="shared" si="194"/>
        <v/>
      </c>
      <c r="AH431" s="12" t="str">
        <f t="shared" si="195"/>
        <v/>
      </c>
      <c r="AI431" s="12" t="str">
        <f t="shared" si="196"/>
        <v/>
      </c>
      <c r="AJ431" s="12" t="str">
        <f t="shared" si="197"/>
        <v/>
      </c>
    </row>
    <row r="432" spans="1:36" x14ac:dyDescent="0.25">
      <c r="A432" s="17">
        <f t="shared" si="192"/>
        <v>16</v>
      </c>
      <c r="B432" s="8" t="s">
        <v>42</v>
      </c>
      <c r="C432" s="4" t="s">
        <v>24</v>
      </c>
      <c r="D432" s="5" t="s">
        <v>0</v>
      </c>
      <c r="E432" s="5"/>
      <c r="F432" s="5" t="s">
        <v>1</v>
      </c>
      <c r="G432" s="5" t="s">
        <v>1</v>
      </c>
      <c r="H432" s="17" t="str">
        <f t="shared" si="186"/>
        <v>""</v>
      </c>
      <c r="I432" s="5" t="s">
        <v>46</v>
      </c>
      <c r="J432" s="5" t="s">
        <v>46</v>
      </c>
      <c r="K432" s="5" t="s">
        <v>46</v>
      </c>
      <c r="L432" s="5" t="s">
        <v>46</v>
      </c>
      <c r="M432" s="5" t="s">
        <v>22</v>
      </c>
      <c r="N432" s="8">
        <f t="shared" si="193"/>
        <v>1</v>
      </c>
      <c r="O432" s="5">
        <v>0</v>
      </c>
      <c r="P432" s="5">
        <v>0</v>
      </c>
      <c r="Q432" s="5" t="s">
        <v>23</v>
      </c>
      <c r="R432" s="5" t="s">
        <v>23</v>
      </c>
      <c r="S432" s="5" t="s">
        <v>23</v>
      </c>
      <c r="T432" s="5" t="s">
        <v>46</v>
      </c>
      <c r="U432" s="5" t="s">
        <v>46</v>
      </c>
      <c r="V432" s="5" t="s">
        <v>46</v>
      </c>
      <c r="W432" s="5">
        <v>0</v>
      </c>
      <c r="X432" s="10" t="s">
        <v>77</v>
      </c>
      <c r="Y432" s="10"/>
      <c r="Z432" s="10"/>
      <c r="AB432" s="2" t="str">
        <f>CONCATENATE(B432,C432,D432,",""",E432,""",",F432,",",G432,",",H432,",",I432,",",J432,",",K432,",",L432,",",M432,",",N432,",",O432,",",P432,",",Q432,",",R432,",",S432,",",T432,",",U432,",",V432,",",W432,"},//",Y416,Y432)</f>
        <v>/*16*/{" ","","","","",false,false,false,false,10.0,1,0,0,0.0,0.0,0.0,false,false,false,0},//</v>
      </c>
      <c r="AD432" s="12" t="str">
        <f t="shared" si="198"/>
        <v/>
      </c>
      <c r="AE432" s="12" t="str">
        <f t="shared" si="194"/>
        <v/>
      </c>
      <c r="AH432" s="12" t="str">
        <f t="shared" si="195"/>
        <v/>
      </c>
      <c r="AI432" s="12" t="str">
        <f t="shared" si="196"/>
        <v/>
      </c>
      <c r="AJ432" s="12" t="str">
        <f t="shared" si="197"/>
        <v/>
      </c>
    </row>
    <row r="433" spans="1:36" x14ac:dyDescent="0.25">
      <c r="A433" s="17">
        <f t="shared" si="192"/>
        <v>17</v>
      </c>
      <c r="B433" s="8" t="s">
        <v>43</v>
      </c>
      <c r="C433" s="4" t="s">
        <v>24</v>
      </c>
      <c r="D433" s="5" t="s">
        <v>0</v>
      </c>
      <c r="E433" s="5"/>
      <c r="F433" s="5" t="s">
        <v>1</v>
      </c>
      <c r="G433" s="5" t="s">
        <v>1</v>
      </c>
      <c r="H433" s="17" t="str">
        <f t="shared" si="186"/>
        <v>""</v>
      </c>
      <c r="I433" s="5" t="s">
        <v>46</v>
      </c>
      <c r="J433" s="5" t="s">
        <v>46</v>
      </c>
      <c r="K433" s="5" t="s">
        <v>46</v>
      </c>
      <c r="L433" s="5" t="s">
        <v>46</v>
      </c>
      <c r="M433" s="5" t="s">
        <v>22</v>
      </c>
      <c r="N433" s="8">
        <f t="shared" si="193"/>
        <v>1</v>
      </c>
      <c r="O433" s="5">
        <v>0</v>
      </c>
      <c r="P433" s="5">
        <v>0</v>
      </c>
      <c r="Q433" s="5" t="s">
        <v>23</v>
      </c>
      <c r="R433" s="5" t="s">
        <v>23</v>
      </c>
      <c r="S433" s="5" t="s">
        <v>23</v>
      </c>
      <c r="T433" s="5" t="s">
        <v>46</v>
      </c>
      <c r="U433" s="5" t="s">
        <v>46</v>
      </c>
      <c r="V433" s="5" t="s">
        <v>46</v>
      </c>
      <c r="W433" s="5">
        <v>0</v>
      </c>
      <c r="X433" s="10" t="s">
        <v>77</v>
      </c>
      <c r="Y433" s="10"/>
      <c r="Z433" s="10"/>
      <c r="AB433" s="2" t="str">
        <f>CONCATENATE(B433,C433,D433,",""",E433,""",",F433,",",G433,",",H433,",",I433,",",J433,",",K433,",",L433,",",M433,",",N433,",",O433,",",P433,",",Q433,",",R433,",",S433,",",T433,",",U433,",",V433,",",W433,"},//",Y416,Y433)</f>
        <v>/*17*/{" ","","","","",false,false,false,false,10.0,1,0,0,0.0,0.0,0.0,false,false,false,0},//</v>
      </c>
      <c r="AD433" s="12" t="str">
        <f t="shared" si="198"/>
        <v/>
      </c>
      <c r="AE433" s="12" t="str">
        <f t="shared" si="194"/>
        <v/>
      </c>
      <c r="AH433" s="12" t="str">
        <f t="shared" si="195"/>
        <v/>
      </c>
      <c r="AI433" s="12" t="str">
        <f t="shared" si="196"/>
        <v/>
      </c>
      <c r="AJ433" s="12" t="str">
        <f t="shared" si="197"/>
        <v/>
      </c>
    </row>
    <row r="434" spans="1:36" x14ac:dyDescent="0.25">
      <c r="A434" s="17">
        <f t="shared" si="192"/>
        <v>18</v>
      </c>
      <c r="B434" s="8" t="s">
        <v>44</v>
      </c>
      <c r="C434" s="4" t="s">
        <v>24</v>
      </c>
      <c r="D434" s="5" t="s">
        <v>0</v>
      </c>
      <c r="E434" s="5"/>
      <c r="F434" s="5" t="s">
        <v>1</v>
      </c>
      <c r="G434" s="5" t="s">
        <v>1</v>
      </c>
      <c r="H434" s="17" t="str">
        <f t="shared" si="186"/>
        <v>""</v>
      </c>
      <c r="I434" s="5" t="s">
        <v>46</v>
      </c>
      <c r="J434" s="5" t="s">
        <v>46</v>
      </c>
      <c r="K434" s="5" t="s">
        <v>46</v>
      </c>
      <c r="L434" s="5" t="s">
        <v>46</v>
      </c>
      <c r="M434" s="5" t="s">
        <v>22</v>
      </c>
      <c r="N434" s="8">
        <f t="shared" si="193"/>
        <v>1</v>
      </c>
      <c r="O434" s="5">
        <v>0</v>
      </c>
      <c r="P434" s="5">
        <v>0</v>
      </c>
      <c r="Q434" s="5" t="s">
        <v>23</v>
      </c>
      <c r="R434" s="5" t="s">
        <v>23</v>
      </c>
      <c r="S434" s="5" t="s">
        <v>23</v>
      </c>
      <c r="T434" s="5" t="s">
        <v>46</v>
      </c>
      <c r="U434" s="5" t="s">
        <v>46</v>
      </c>
      <c r="V434" s="5" t="s">
        <v>46</v>
      </c>
      <c r="W434" s="5">
        <v>0</v>
      </c>
      <c r="X434" s="10" t="s">
        <v>77</v>
      </c>
      <c r="Y434" s="10"/>
      <c r="Z434" s="10"/>
      <c r="AB434" s="2" t="str">
        <f>CONCATENATE(B434,C434,D434,",""",E434,""",",F434,",",G434,",",H434,",",I434,",",J434,",",K434,",",L434,",",M434,",",N434,",",O434,",",P434,",",Q434,",",R434,",",S434,",",T434,",",U434,",",V434,",",W434,"},//",Y416,Y434)</f>
        <v>/*18*/{" ","","","","",false,false,false,false,10.0,1,0,0,0.0,0.0,0.0,false,false,false,0},//</v>
      </c>
      <c r="AD434" s="12" t="str">
        <f t="shared" si="198"/>
        <v/>
      </c>
      <c r="AE434" s="12" t="str">
        <f t="shared" si="194"/>
        <v/>
      </c>
      <c r="AH434" s="12" t="str">
        <f t="shared" si="195"/>
        <v/>
      </c>
      <c r="AI434" s="12" t="str">
        <f t="shared" si="196"/>
        <v/>
      </c>
      <c r="AJ434" s="12" t="str">
        <f t="shared" si="197"/>
        <v/>
      </c>
    </row>
    <row r="435" spans="1:36" x14ac:dyDescent="0.25">
      <c r="A435" s="17">
        <f t="shared" si="192"/>
        <v>19</v>
      </c>
      <c r="B435" s="8" t="s">
        <v>45</v>
      </c>
      <c r="C435" s="4" t="s">
        <v>24</v>
      </c>
      <c r="D435" s="5" t="s">
        <v>0</v>
      </c>
      <c r="E435" s="5"/>
      <c r="F435" s="5" t="s">
        <v>1</v>
      </c>
      <c r="G435" s="5" t="s">
        <v>1</v>
      </c>
      <c r="H435" s="17" t="str">
        <f t="shared" si="186"/>
        <v>""</v>
      </c>
      <c r="I435" s="5" t="s">
        <v>46</v>
      </c>
      <c r="J435" s="5" t="s">
        <v>46</v>
      </c>
      <c r="K435" s="5" t="s">
        <v>46</v>
      </c>
      <c r="L435" s="5" t="s">
        <v>46</v>
      </c>
      <c r="M435" s="5" t="s">
        <v>22</v>
      </c>
      <c r="N435" s="8">
        <f t="shared" si="193"/>
        <v>1</v>
      </c>
      <c r="O435" s="5">
        <v>0</v>
      </c>
      <c r="P435" s="5">
        <v>0</v>
      </c>
      <c r="Q435" s="5" t="s">
        <v>23</v>
      </c>
      <c r="R435" s="5" t="s">
        <v>23</v>
      </c>
      <c r="S435" s="5" t="s">
        <v>23</v>
      </c>
      <c r="T435" s="5" t="s">
        <v>46</v>
      </c>
      <c r="U435" s="5" t="s">
        <v>46</v>
      </c>
      <c r="V435" s="5" t="s">
        <v>46</v>
      </c>
      <c r="W435" s="5">
        <v>0</v>
      </c>
      <c r="X435" s="10" t="s">
        <v>77</v>
      </c>
      <c r="Y435" s="10"/>
      <c r="Z435" s="10"/>
      <c r="AB435" s="2" t="str">
        <f>CONCATENATE(B435,C435,D435,",""",E435,""",",F435,",",G435,",",H435,",",I435,",",J435,",",K435,",",L435,",",M435,",",N435,",",O435,",",P435,",",Q435,",",R435,",",S435,",",T435,",",U435,",",V435,",",W435,"}//",Y416,Y435)</f>
        <v>/*19*/{" ","","","","",false,false,false,false,10.0,1,0,0,0.0,0.0,0.0,false,false,false,0}//</v>
      </c>
      <c r="AD435" s="12" t="str">
        <f t="shared" si="198"/>
        <v/>
      </c>
      <c r="AE435" s="12" t="str">
        <f t="shared" si="194"/>
        <v/>
      </c>
      <c r="AH435" s="12" t="str">
        <f t="shared" ref="AH435" si="199">IF(X435="Да",CONCATENATE("Ref.",,SUBSTITUTE(Z435," ","")," = ",$AI$1,$B$29,SUBSTITUTE(E435," ",""),";//",$Y$32,". ",Y435),"")</f>
        <v/>
      </c>
      <c r="AI435" s="12" t="str">
        <f>IF(X435="Да",CONCATENATE($AI$1,SUBSTITUTE(Z435," ","")," = Ref.",SUBSTITUTE(Z435," ",""),";//",$Y$32,". ",Y435),"")</f>
        <v/>
      </c>
      <c r="AJ435" s="12" t="str">
        <f t="shared" si="197"/>
        <v/>
      </c>
    </row>
    <row r="436" spans="1:36" x14ac:dyDescent="0.25">
      <c r="C436" s="21"/>
      <c r="D436" s="21"/>
      <c r="E436" s="5"/>
      <c r="AB436" s="3" t="s">
        <v>25</v>
      </c>
    </row>
    <row r="437" spans="1:36" x14ac:dyDescent="0.25">
      <c r="A437" s="14">
        <f>A413+1</f>
        <v>18</v>
      </c>
      <c r="D437" s="7" t="s">
        <v>72</v>
      </c>
      <c r="AB437" s="3" t="s">
        <v>51</v>
      </c>
    </row>
    <row r="438" spans="1:36" ht="45" x14ac:dyDescent="0.25">
      <c r="A438" s="15" t="s">
        <v>78</v>
      </c>
      <c r="B438" s="18"/>
      <c r="C438" s="6" t="s">
        <v>25</v>
      </c>
      <c r="D438" s="6" t="s">
        <v>17</v>
      </c>
      <c r="E438" s="6" t="s">
        <v>18</v>
      </c>
      <c r="F438" s="6" t="s">
        <v>19</v>
      </c>
      <c r="G438" s="6" t="s">
        <v>20</v>
      </c>
      <c r="H438" s="6" t="s">
        <v>21</v>
      </c>
      <c r="I438" s="6" t="s">
        <v>2</v>
      </c>
      <c r="J438" s="6" t="s">
        <v>3</v>
      </c>
      <c r="K438" s="6" t="s">
        <v>4</v>
      </c>
      <c r="L438" s="6" t="s">
        <v>5</v>
      </c>
      <c r="M438" s="6" t="s">
        <v>6</v>
      </c>
      <c r="N438" s="6" t="s">
        <v>7</v>
      </c>
      <c r="O438" s="6" t="s">
        <v>8</v>
      </c>
      <c r="P438" s="6" t="s">
        <v>9</v>
      </c>
      <c r="Q438" s="6" t="s">
        <v>10</v>
      </c>
      <c r="R438" s="6" t="s">
        <v>11</v>
      </c>
      <c r="S438" s="6" t="s">
        <v>12</v>
      </c>
      <c r="T438" s="6" t="s">
        <v>13</v>
      </c>
      <c r="U438" s="6" t="s">
        <v>14</v>
      </c>
      <c r="V438" s="6" t="s">
        <v>15</v>
      </c>
      <c r="W438" s="6" t="s">
        <v>16</v>
      </c>
      <c r="X438" s="6" t="s">
        <v>76</v>
      </c>
      <c r="Y438" s="6" t="s">
        <v>80</v>
      </c>
      <c r="Z438" s="6" t="s">
        <v>97</v>
      </c>
      <c r="AA438" s="1"/>
      <c r="AB438" s="2" t="str">
        <f>CONCATENATE(D437," - ",E440)</f>
        <v xml:space="preserve">//Экран 18 - </v>
      </c>
    </row>
    <row r="439" spans="1:36" x14ac:dyDescent="0.25">
      <c r="A439" s="16"/>
      <c r="B439" s="13"/>
      <c r="C439" s="4" t="s">
        <v>24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11"/>
      <c r="Y439" s="11"/>
      <c r="Z439" s="11"/>
      <c r="AA439" s="1"/>
      <c r="AB439" s="3" t="str">
        <f>C439</f>
        <v>{</v>
      </c>
    </row>
    <row r="440" spans="1:36" x14ac:dyDescent="0.25">
      <c r="A440" s="17">
        <v>0</v>
      </c>
      <c r="B440" s="8" t="s">
        <v>27</v>
      </c>
      <c r="C440" s="4" t="s">
        <v>24</v>
      </c>
      <c r="D440" s="5" t="s">
        <v>0</v>
      </c>
      <c r="E440" s="5"/>
      <c r="F440" s="5" t="s">
        <v>1</v>
      </c>
      <c r="G440" s="5" t="s">
        <v>1</v>
      </c>
      <c r="H440" s="17" t="str">
        <f t="shared" ref="H440:H459" si="200">IF(AND(I440="true",J440="false"),""" ""","""""")</f>
        <v>""</v>
      </c>
      <c r="I440" s="5" t="s">
        <v>46</v>
      </c>
      <c r="J440" s="5" t="s">
        <v>46</v>
      </c>
      <c r="K440" s="5" t="s">
        <v>46</v>
      </c>
      <c r="L440" s="5" t="s">
        <v>47</v>
      </c>
      <c r="M440" s="5" t="s">
        <v>22</v>
      </c>
      <c r="N440" s="8">
        <v>1</v>
      </c>
      <c r="O440" s="5">
        <v>0</v>
      </c>
      <c r="P440" s="5">
        <v>0</v>
      </c>
      <c r="Q440" s="5" t="s">
        <v>48</v>
      </c>
      <c r="R440" s="5" t="s">
        <v>23</v>
      </c>
      <c r="S440" s="5" t="s">
        <v>49</v>
      </c>
      <c r="T440" s="5" t="s">
        <v>46</v>
      </c>
      <c r="U440" s="5" t="s">
        <v>46</v>
      </c>
      <c r="V440" s="5" t="s">
        <v>46</v>
      </c>
      <c r="W440" s="5">
        <v>0</v>
      </c>
      <c r="X440" s="10" t="s">
        <v>77</v>
      </c>
      <c r="Y440" s="10"/>
      <c r="Z440" s="10"/>
      <c r="AB440" s="2" t="str">
        <f>CONCATENATE(B440,C440,D440,",""",E440,""",",F440,",",G440,",",H440,",",I440,",",J440,",",K440,",",L440,",",M440,",",N440,",",O440,",",P440,",",Q440,",",R440,",",S440,",",T440,",",U440,",",V440,",",W440,"},//",Y440)</f>
        <v>/*0*/{" ","","","","",false,false,false,true,10.0,1,0,0,100.0,0.0,0.1,false,false,false,0},//</v>
      </c>
      <c r="AD440" s="12" t="str">
        <f t="shared" ref="AD440:AD443" si="201">IF(X440="Да",CONCATENATE("float &amp;",SUBSTITUTE(Z440," ","")," = Screens[",$A$29,"][",A440,"].Param;// Ссылка. ",$Y$32,". ",Y440),"")</f>
        <v/>
      </c>
      <c r="AE440" s="12" t="str">
        <f t="shared" ref="AE440" si="202">IF(X440="Да",CONCATENATE("float ",SUBSTITUTE(Z440," ","")," = Screens[",$A$29,"][",A440,"].Param;//",$Y$32,". ",Y440),"")</f>
        <v/>
      </c>
      <c r="AH440" s="12" t="str">
        <f t="shared" ref="AH440" si="203">IF(X440="Да",CONCATENATE("Ref.",,SUBSTITUTE(Z440," ","")," = ",$AI$1,SUBSTITUTE(Z440," ",""),";//",$Y$32,". ",Y440),"")</f>
        <v/>
      </c>
      <c r="AI440" s="12" t="str">
        <f t="shared" ref="AI440" si="204">IF(X440="Да",CONCATENATE($AI$1,SUBSTITUTE(Z440," ","")," = Ref.",SUBSTITUTE(Z440," ",""),";//",$Y$32,". ",Y440),"")</f>
        <v/>
      </c>
      <c r="AJ440" s="12" t="str">
        <f t="shared" ref="AJ440" si="205">IF(X440="Да",CONCATENATE($AI$1,SUBSTITUTE(Z440," ","")," = ",M440,";//",$Y$32,". ",Y440),"")</f>
        <v/>
      </c>
    </row>
    <row r="441" spans="1:36" x14ac:dyDescent="0.25">
      <c r="A441" s="17">
        <f>A440+1</f>
        <v>1</v>
      </c>
      <c r="B441" s="8" t="s">
        <v>26</v>
      </c>
      <c r="C441" s="4" t="s">
        <v>24</v>
      </c>
      <c r="D441" s="5" t="s">
        <v>0</v>
      </c>
      <c r="E441" s="5"/>
      <c r="F441" s="5" t="s">
        <v>1</v>
      </c>
      <c r="G441" s="5" t="s">
        <v>1</v>
      </c>
      <c r="H441" s="17" t="str">
        <f t="shared" si="200"/>
        <v>""</v>
      </c>
      <c r="I441" s="5" t="s">
        <v>46</v>
      </c>
      <c r="J441" s="5" t="s">
        <v>46</v>
      </c>
      <c r="K441" s="5" t="s">
        <v>46</v>
      </c>
      <c r="L441" s="5" t="s">
        <v>46</v>
      </c>
      <c r="M441" s="5" t="s">
        <v>22</v>
      </c>
      <c r="N441" s="8">
        <f>N440</f>
        <v>1</v>
      </c>
      <c r="O441" s="5">
        <v>0</v>
      </c>
      <c r="P441" s="5">
        <v>0</v>
      </c>
      <c r="Q441" s="5" t="s">
        <v>23</v>
      </c>
      <c r="R441" s="5" t="s">
        <v>23</v>
      </c>
      <c r="S441" s="5" t="s">
        <v>23</v>
      </c>
      <c r="T441" s="5" t="s">
        <v>46</v>
      </c>
      <c r="U441" s="5" t="s">
        <v>46</v>
      </c>
      <c r="V441" s="5" t="s">
        <v>46</v>
      </c>
      <c r="W441" s="5">
        <v>0</v>
      </c>
      <c r="X441" s="10" t="s">
        <v>77</v>
      </c>
      <c r="Y441" s="10"/>
      <c r="Z441" s="10"/>
      <c r="AB441" s="2" t="str">
        <f>CONCATENATE(B441,C441,D441,",""",E441,""",",F441,",",G441,",",H441,",",I441,",",J441,",",K441,",",L441,",",M441,",",N441,",",O441,",",P441,",",Q441,",",R441,",",S441,",",T441,",",U441,",",V441,",",W441,"},//",Y440,Y441)</f>
        <v>/*1*/{" ","","","","",false,false,false,false,10.0,1,0,0,0.0,0.0,0.0,false,false,false,0},//</v>
      </c>
      <c r="AD441" s="12" t="str">
        <f t="shared" si="201"/>
        <v/>
      </c>
      <c r="AE441" s="12" t="str">
        <f>IF(X441="Да",CONCATENATE("float ",SUBSTITUTE(Z441," ","")," = Screens[",$A$29,"][",A441,"].Param;//",$Y$32,". ",Y441),"")</f>
        <v/>
      </c>
      <c r="AH441" s="12" t="str">
        <f>IF(X441="Да",CONCATENATE("Ref.",,SUBSTITUTE(Z441," ","")," = ",$AI$1,SUBSTITUTE(Z441," ",""),";//",$Y$32,". ",Y441),"")</f>
        <v/>
      </c>
      <c r="AI441" s="12" t="str">
        <f>IF(X441="Да",CONCATENATE($AI$1,SUBSTITUTE(Z441," ","")," = Ref.",SUBSTITUTE(Z441," ",""),";//",$Y$32,". ",Y441),"")</f>
        <v/>
      </c>
      <c r="AJ441" s="12" t="str">
        <f>IF(X441="Да",CONCATENATE($AI$1,SUBSTITUTE(Z441," ","")," = ",M441,";//",$Y$32,". ",Y441),"")</f>
        <v/>
      </c>
    </row>
    <row r="442" spans="1:36" x14ac:dyDescent="0.25">
      <c r="A442" s="17">
        <f t="shared" ref="A442:A459" si="206">A441+1</f>
        <v>2</v>
      </c>
      <c r="B442" s="8" t="s">
        <v>28</v>
      </c>
      <c r="C442" s="4" t="s">
        <v>24</v>
      </c>
      <c r="D442" s="5" t="s">
        <v>0</v>
      </c>
      <c r="E442" s="5"/>
      <c r="F442" s="5" t="s">
        <v>1</v>
      </c>
      <c r="G442" s="5" t="s">
        <v>1</v>
      </c>
      <c r="H442" s="17" t="str">
        <f t="shared" si="200"/>
        <v>""</v>
      </c>
      <c r="I442" s="5" t="s">
        <v>46</v>
      </c>
      <c r="J442" s="5" t="s">
        <v>46</v>
      </c>
      <c r="K442" s="5" t="s">
        <v>46</v>
      </c>
      <c r="L442" s="5" t="s">
        <v>46</v>
      </c>
      <c r="M442" s="5" t="s">
        <v>22</v>
      </c>
      <c r="N442" s="8">
        <f t="shared" ref="N442:N459" si="207">N441</f>
        <v>1</v>
      </c>
      <c r="O442" s="5">
        <v>0</v>
      </c>
      <c r="P442" s="5">
        <v>0</v>
      </c>
      <c r="Q442" s="5" t="s">
        <v>23</v>
      </c>
      <c r="R442" s="5" t="s">
        <v>23</v>
      </c>
      <c r="S442" s="5" t="s">
        <v>23</v>
      </c>
      <c r="T442" s="5" t="s">
        <v>46</v>
      </c>
      <c r="U442" s="5" t="s">
        <v>46</v>
      </c>
      <c r="V442" s="5" t="s">
        <v>46</v>
      </c>
      <c r="W442" s="5">
        <v>0</v>
      </c>
      <c r="X442" s="10" t="s">
        <v>77</v>
      </c>
      <c r="Y442" s="10"/>
      <c r="Z442" s="10"/>
      <c r="AB442" s="2" t="str">
        <f>CONCATENATE(B442,C442,D442,",""",E442,""",",F442,",",G442,",",H442,",",I442,",",J442,",",K442,",",L442,",",M442,",",N442,",",O442,",",P442,",",Q442,",",R442,",",S442,",",T442,",",U442,",",V442,",",W442,"},//",Y440,Y442)</f>
        <v>/*2*/{" ","","","","",false,false,false,false,10.0,1,0,0,0.0,0.0,0.0,false,false,false,0},//</v>
      </c>
      <c r="AD442" s="12" t="str">
        <f t="shared" si="201"/>
        <v/>
      </c>
      <c r="AE442" s="12" t="str">
        <f t="shared" ref="AE442:AE459" si="208">IF(X442="Да",CONCATENATE("float ",SUBSTITUTE(Z442," ","")," = Screens[",$A$29,"][",A442,"].Param;//",$Y$32,". ",Y442),"")</f>
        <v/>
      </c>
      <c r="AH442" s="12" t="str">
        <f t="shared" ref="AH442:AH458" si="209">IF(X442="Да",CONCATENATE("Ref.",,SUBSTITUTE(Z442," ","")," = ",$AI$1,SUBSTITUTE(Z442," ",""),";//",$Y$32,". ",Y442),"")</f>
        <v/>
      </c>
      <c r="AI442" s="12" t="str">
        <f t="shared" ref="AI442:AI458" si="210">IF(X442="Да",CONCATENATE($AI$1,SUBSTITUTE(Z442," ","")," = Ref.",SUBSTITUTE(Z442," ",""),";//",$Y$32,". ",Y442),"")</f>
        <v/>
      </c>
      <c r="AJ442" s="12" t="str">
        <f t="shared" ref="AJ442:AJ459" si="211">IF(X442="Да",CONCATENATE($AI$1,SUBSTITUTE(Z442," ","")," = ",M442,";//",$Y$32,". ",Y442),"")</f>
        <v/>
      </c>
    </row>
    <row r="443" spans="1:36" x14ac:dyDescent="0.25">
      <c r="A443" s="17">
        <f t="shared" si="206"/>
        <v>3</v>
      </c>
      <c r="B443" s="8" t="s">
        <v>29</v>
      </c>
      <c r="C443" s="4" t="s">
        <v>24</v>
      </c>
      <c r="D443" s="5" t="s">
        <v>0</v>
      </c>
      <c r="E443" s="5"/>
      <c r="F443" s="5" t="s">
        <v>1</v>
      </c>
      <c r="G443" s="5" t="s">
        <v>1</v>
      </c>
      <c r="H443" s="17" t="str">
        <f t="shared" si="200"/>
        <v>""</v>
      </c>
      <c r="I443" s="5" t="s">
        <v>46</v>
      </c>
      <c r="J443" s="5" t="s">
        <v>46</v>
      </c>
      <c r="K443" s="5" t="s">
        <v>46</v>
      </c>
      <c r="L443" s="5" t="s">
        <v>46</v>
      </c>
      <c r="M443" s="5" t="s">
        <v>22</v>
      </c>
      <c r="N443" s="8">
        <f t="shared" si="207"/>
        <v>1</v>
      </c>
      <c r="O443" s="5">
        <v>2</v>
      </c>
      <c r="P443" s="5">
        <v>0</v>
      </c>
      <c r="Q443" s="5" t="s">
        <v>23</v>
      </c>
      <c r="R443" s="5" t="s">
        <v>23</v>
      </c>
      <c r="S443" s="5" t="s">
        <v>23</v>
      </c>
      <c r="T443" s="5" t="s">
        <v>46</v>
      </c>
      <c r="U443" s="5" t="s">
        <v>46</v>
      </c>
      <c r="V443" s="5" t="s">
        <v>46</v>
      </c>
      <c r="W443" s="5">
        <v>0</v>
      </c>
      <c r="X443" s="10" t="s">
        <v>77</v>
      </c>
      <c r="Y443" s="10"/>
      <c r="Z443" s="10"/>
      <c r="AB443" s="2" t="str">
        <f>CONCATENATE(B443,C443,D443,",""",E443,""",",F443,",",G443,",",H443,",",I443,",",J443,",",K443,",",L443,",",M443,",",N443,",",O443,",",P443,",",Q443,",",R443,",",S443,",",T443,",",U443,",",V443,",",W443,"},//",Y440,Y443)</f>
        <v>/*3*/{" ","","","","",false,false,false,false,10.0,1,2,0,0.0,0.0,0.0,false,false,false,0},//</v>
      </c>
      <c r="AD443" s="12" t="str">
        <f t="shared" si="201"/>
        <v/>
      </c>
      <c r="AE443" s="12" t="str">
        <f t="shared" si="208"/>
        <v/>
      </c>
      <c r="AH443" s="12" t="str">
        <f t="shared" si="209"/>
        <v/>
      </c>
      <c r="AI443" s="12" t="str">
        <f t="shared" si="210"/>
        <v/>
      </c>
      <c r="AJ443" s="12" t="str">
        <f t="shared" si="211"/>
        <v/>
      </c>
    </row>
    <row r="444" spans="1:36" x14ac:dyDescent="0.25">
      <c r="A444" s="17">
        <f t="shared" si="206"/>
        <v>4</v>
      </c>
      <c r="B444" s="8" t="s">
        <v>30</v>
      </c>
      <c r="C444" s="4" t="s">
        <v>24</v>
      </c>
      <c r="D444" s="5" t="s">
        <v>0</v>
      </c>
      <c r="E444" s="5"/>
      <c r="F444" s="5" t="s">
        <v>1</v>
      </c>
      <c r="G444" s="5" t="s">
        <v>1</v>
      </c>
      <c r="H444" s="17" t="str">
        <f t="shared" si="200"/>
        <v>""</v>
      </c>
      <c r="I444" s="5" t="s">
        <v>46</v>
      </c>
      <c r="J444" s="5" t="s">
        <v>46</v>
      </c>
      <c r="K444" s="5" t="s">
        <v>46</v>
      </c>
      <c r="L444" s="5" t="s">
        <v>46</v>
      </c>
      <c r="M444" s="5" t="s">
        <v>22</v>
      </c>
      <c r="N444" s="8">
        <f t="shared" si="207"/>
        <v>1</v>
      </c>
      <c r="O444" s="5">
        <v>0</v>
      </c>
      <c r="P444" s="5">
        <v>0</v>
      </c>
      <c r="Q444" s="5" t="s">
        <v>23</v>
      </c>
      <c r="R444" s="5" t="s">
        <v>23</v>
      </c>
      <c r="S444" s="5" t="s">
        <v>23</v>
      </c>
      <c r="T444" s="5" t="s">
        <v>46</v>
      </c>
      <c r="U444" s="5" t="s">
        <v>46</v>
      </c>
      <c r="V444" s="5" t="s">
        <v>46</v>
      </c>
      <c r="W444" s="5">
        <v>0</v>
      </c>
      <c r="X444" s="10" t="s">
        <v>77</v>
      </c>
      <c r="Y444" s="10"/>
      <c r="Z444" s="10"/>
      <c r="AB444" s="2" t="str">
        <f>CONCATENATE(B444,C444,D444,",""",E444,""",",F444,",",G444,",",H444,",",I444,",",J444,",",K444,",",L444,",",M444,",",N444,",",O444,",",P444,",",Q444,",",R444,",",S444,",",T444,",",U444,",",V444,",",W444,"},//",Y440,Y444)</f>
        <v>/*4*/{" ","","","","",false,false,false,false,10.0,1,0,0,0.0,0.0,0.0,false,false,false,0},//</v>
      </c>
      <c r="AD444" s="12" t="str">
        <f>IF(X444="Да",CONCATENATE("float &amp;",SUBSTITUTE(Z444," ","")," = Screens[",$A$29,"][",A444,"].Param;// Ссылка. ",$Y$32,". ",Y444),"")</f>
        <v/>
      </c>
      <c r="AE444" s="12" t="str">
        <f t="shared" si="208"/>
        <v/>
      </c>
      <c r="AH444" s="12" t="str">
        <f t="shared" si="209"/>
        <v/>
      </c>
      <c r="AI444" s="12" t="str">
        <f t="shared" si="210"/>
        <v/>
      </c>
      <c r="AJ444" s="12" t="str">
        <f t="shared" si="211"/>
        <v/>
      </c>
    </row>
    <row r="445" spans="1:36" x14ac:dyDescent="0.25">
      <c r="A445" s="17">
        <f t="shared" si="206"/>
        <v>5</v>
      </c>
      <c r="B445" s="8" t="s">
        <v>31</v>
      </c>
      <c r="C445" s="4" t="s">
        <v>24</v>
      </c>
      <c r="D445" s="5" t="s">
        <v>0</v>
      </c>
      <c r="E445" s="5"/>
      <c r="F445" s="5" t="s">
        <v>1</v>
      </c>
      <c r="G445" s="5" t="s">
        <v>1</v>
      </c>
      <c r="H445" s="17" t="str">
        <f t="shared" si="200"/>
        <v>""</v>
      </c>
      <c r="I445" s="5" t="s">
        <v>46</v>
      </c>
      <c r="J445" s="5" t="s">
        <v>46</v>
      </c>
      <c r="K445" s="5" t="s">
        <v>46</v>
      </c>
      <c r="L445" s="5" t="s">
        <v>46</v>
      </c>
      <c r="M445" s="5" t="s">
        <v>22</v>
      </c>
      <c r="N445" s="8">
        <f t="shared" si="207"/>
        <v>1</v>
      </c>
      <c r="O445" s="5">
        <v>0</v>
      </c>
      <c r="P445" s="5">
        <v>0</v>
      </c>
      <c r="Q445" s="5" t="s">
        <v>23</v>
      </c>
      <c r="R445" s="5" t="s">
        <v>23</v>
      </c>
      <c r="S445" s="5" t="s">
        <v>23</v>
      </c>
      <c r="T445" s="5" t="s">
        <v>46</v>
      </c>
      <c r="U445" s="5" t="s">
        <v>46</v>
      </c>
      <c r="V445" s="5" t="s">
        <v>46</v>
      </c>
      <c r="W445" s="5">
        <v>0</v>
      </c>
      <c r="X445" s="10" t="s">
        <v>77</v>
      </c>
      <c r="Y445" s="10"/>
      <c r="Z445" s="10"/>
      <c r="AB445" s="2" t="str">
        <f>CONCATENATE(B445,C445,D445,",""",E445,""",",F445,",",G445,",",H445,",",I445,",",J445,",",K445,",",L445,",",M445,",",N445,",",O445,",",P445,",",Q445,",",R445,",",S445,",",T445,",",U445,",",V445,",",W445,"},//",Y440,Y445)</f>
        <v>/*5*/{" ","","","","",false,false,false,false,10.0,1,0,0,0.0,0.0,0.0,false,false,false,0},//</v>
      </c>
      <c r="AD445" s="12" t="str">
        <f t="shared" ref="AD445:AD459" si="212">IF(X445="Да",CONCATENATE("float &amp;",SUBSTITUTE(Z445," ","")," = Screens[",$A$29,"][",A445,"].Param;// Ссылка. ",$Y$32,". ",Y445),"")</f>
        <v/>
      </c>
      <c r="AE445" s="12" t="str">
        <f t="shared" si="208"/>
        <v/>
      </c>
      <c r="AH445" s="12" t="str">
        <f t="shared" si="209"/>
        <v/>
      </c>
      <c r="AI445" s="12" t="str">
        <f t="shared" si="210"/>
        <v/>
      </c>
      <c r="AJ445" s="12" t="str">
        <f t="shared" si="211"/>
        <v/>
      </c>
    </row>
    <row r="446" spans="1:36" x14ac:dyDescent="0.25">
      <c r="A446" s="17">
        <f t="shared" si="206"/>
        <v>6</v>
      </c>
      <c r="B446" s="8" t="s">
        <v>32</v>
      </c>
      <c r="C446" s="4" t="s">
        <v>24</v>
      </c>
      <c r="D446" s="5" t="s">
        <v>0</v>
      </c>
      <c r="E446" s="5"/>
      <c r="F446" s="5" t="s">
        <v>1</v>
      </c>
      <c r="G446" s="5" t="s">
        <v>1</v>
      </c>
      <c r="H446" s="17" t="str">
        <f t="shared" si="200"/>
        <v>""</v>
      </c>
      <c r="I446" s="5" t="s">
        <v>46</v>
      </c>
      <c r="J446" s="5" t="s">
        <v>46</v>
      </c>
      <c r="K446" s="5" t="s">
        <v>46</v>
      </c>
      <c r="L446" s="5" t="s">
        <v>46</v>
      </c>
      <c r="M446" s="5" t="s">
        <v>22</v>
      </c>
      <c r="N446" s="8">
        <f t="shared" si="207"/>
        <v>1</v>
      </c>
      <c r="O446" s="5">
        <v>0</v>
      </c>
      <c r="P446" s="5">
        <v>0</v>
      </c>
      <c r="Q446" s="5" t="s">
        <v>23</v>
      </c>
      <c r="R446" s="5" t="s">
        <v>23</v>
      </c>
      <c r="S446" s="5" t="s">
        <v>23</v>
      </c>
      <c r="T446" s="5" t="s">
        <v>46</v>
      </c>
      <c r="U446" s="5" t="s">
        <v>46</v>
      </c>
      <c r="V446" s="5" t="s">
        <v>46</v>
      </c>
      <c r="W446" s="5">
        <v>0</v>
      </c>
      <c r="X446" s="10" t="s">
        <v>77</v>
      </c>
      <c r="Y446" s="10"/>
      <c r="Z446" s="10"/>
      <c r="AB446" s="2" t="str">
        <f>CONCATENATE(B446,C446,D446,",""",E446,""",",F446,",",G446,",",H446,",",I446,",",J446,",",K446,",",L446,",",M446,",",N446,",",O446,",",P446,",",Q446,",",R446,",",S446,",",T446,",",U446,",",V446,",",W446,"},//",Y440,Y446)</f>
        <v>/*6*/{" ","","","","",false,false,false,false,10.0,1,0,0,0.0,0.0,0.0,false,false,false,0},//</v>
      </c>
      <c r="AD446" s="12" t="str">
        <f t="shared" si="212"/>
        <v/>
      </c>
      <c r="AE446" s="12" t="str">
        <f t="shared" si="208"/>
        <v/>
      </c>
      <c r="AH446" s="12" t="str">
        <f t="shared" si="209"/>
        <v/>
      </c>
      <c r="AI446" s="12" t="str">
        <f t="shared" si="210"/>
        <v/>
      </c>
      <c r="AJ446" s="12" t="str">
        <f t="shared" si="211"/>
        <v/>
      </c>
    </row>
    <row r="447" spans="1:36" x14ac:dyDescent="0.25">
      <c r="A447" s="17">
        <f t="shared" si="206"/>
        <v>7</v>
      </c>
      <c r="B447" s="8" t="s">
        <v>33</v>
      </c>
      <c r="C447" s="4" t="s">
        <v>24</v>
      </c>
      <c r="D447" s="5" t="s">
        <v>0</v>
      </c>
      <c r="E447" s="5"/>
      <c r="F447" s="5" t="s">
        <v>1</v>
      </c>
      <c r="G447" s="5" t="s">
        <v>1</v>
      </c>
      <c r="H447" s="17" t="str">
        <f t="shared" si="200"/>
        <v>""</v>
      </c>
      <c r="I447" s="5" t="s">
        <v>46</v>
      </c>
      <c r="J447" s="5" t="s">
        <v>46</v>
      </c>
      <c r="K447" s="5" t="s">
        <v>46</v>
      </c>
      <c r="L447" s="5" t="s">
        <v>46</v>
      </c>
      <c r="M447" s="5" t="s">
        <v>22</v>
      </c>
      <c r="N447" s="8">
        <f t="shared" si="207"/>
        <v>1</v>
      </c>
      <c r="O447" s="5">
        <v>0</v>
      </c>
      <c r="P447" s="5">
        <v>0</v>
      </c>
      <c r="Q447" s="5" t="s">
        <v>23</v>
      </c>
      <c r="R447" s="5" t="s">
        <v>23</v>
      </c>
      <c r="S447" s="5" t="s">
        <v>23</v>
      </c>
      <c r="T447" s="5" t="s">
        <v>46</v>
      </c>
      <c r="U447" s="5" t="s">
        <v>46</v>
      </c>
      <c r="V447" s="5" t="s">
        <v>46</v>
      </c>
      <c r="W447" s="5">
        <v>0</v>
      </c>
      <c r="X447" s="10" t="s">
        <v>77</v>
      </c>
      <c r="Y447" s="10"/>
      <c r="Z447" s="10"/>
      <c r="AB447" s="2" t="str">
        <f>CONCATENATE(B447,C447,D447,",""",E447,""",",F447,",",G447,",",H447,",",I447,",",J447,",",K447,",",L447,",",M447,",",N447,",",O447,",",P447,",",Q447,",",R447,",",S447,",",T447,",",U447,",",V447,",",W447,"},//",Y440,Y447)</f>
        <v>/*7*/{" ","","","","",false,false,false,false,10.0,1,0,0,0.0,0.0,0.0,false,false,false,0},//</v>
      </c>
      <c r="AD447" s="12" t="str">
        <f t="shared" si="212"/>
        <v/>
      </c>
      <c r="AE447" s="12" t="str">
        <f t="shared" si="208"/>
        <v/>
      </c>
      <c r="AH447" s="12" t="str">
        <f t="shared" si="209"/>
        <v/>
      </c>
      <c r="AI447" s="12" t="str">
        <f t="shared" si="210"/>
        <v/>
      </c>
      <c r="AJ447" s="12" t="str">
        <f t="shared" si="211"/>
        <v/>
      </c>
    </row>
    <row r="448" spans="1:36" x14ac:dyDescent="0.25">
      <c r="A448" s="17">
        <f t="shared" si="206"/>
        <v>8</v>
      </c>
      <c r="B448" s="8" t="s">
        <v>34</v>
      </c>
      <c r="C448" s="4" t="s">
        <v>24</v>
      </c>
      <c r="D448" s="5" t="s">
        <v>0</v>
      </c>
      <c r="E448" s="5"/>
      <c r="F448" s="5" t="s">
        <v>1</v>
      </c>
      <c r="G448" s="5" t="s">
        <v>1</v>
      </c>
      <c r="H448" s="17" t="str">
        <f t="shared" si="200"/>
        <v>""</v>
      </c>
      <c r="I448" s="5" t="s">
        <v>46</v>
      </c>
      <c r="J448" s="5" t="s">
        <v>46</v>
      </c>
      <c r="K448" s="5" t="s">
        <v>46</v>
      </c>
      <c r="L448" s="5" t="s">
        <v>46</v>
      </c>
      <c r="M448" s="5" t="s">
        <v>22</v>
      </c>
      <c r="N448" s="8">
        <f t="shared" si="207"/>
        <v>1</v>
      </c>
      <c r="O448" s="5">
        <v>0</v>
      </c>
      <c r="P448" s="5">
        <v>0</v>
      </c>
      <c r="Q448" s="5" t="s">
        <v>23</v>
      </c>
      <c r="R448" s="5" t="s">
        <v>23</v>
      </c>
      <c r="S448" s="5" t="s">
        <v>23</v>
      </c>
      <c r="T448" s="5" t="s">
        <v>46</v>
      </c>
      <c r="U448" s="5" t="s">
        <v>46</v>
      </c>
      <c r="V448" s="5" t="s">
        <v>46</v>
      </c>
      <c r="W448" s="5">
        <v>0</v>
      </c>
      <c r="X448" s="10" t="s">
        <v>77</v>
      </c>
      <c r="Y448" s="10"/>
      <c r="Z448" s="10"/>
      <c r="AB448" s="2" t="str">
        <f>CONCATENATE(B448,C448,D448,",""",E448,""",",F448,",",G448,",",H448,",",I448,",",J448,",",K448,",",L448,",",M448,",",N448,",",O448,",",P448,",",Q448,",",R448,",",S448,",",T448,",",U448,",",V448,",",W448,"},//",Y440,Y448)</f>
        <v>/*8*/{" ","","","","",false,false,false,false,10.0,1,0,0,0.0,0.0,0.0,false,false,false,0},//</v>
      </c>
      <c r="AD448" s="12" t="str">
        <f t="shared" si="212"/>
        <v/>
      </c>
      <c r="AE448" s="12" t="str">
        <f t="shared" si="208"/>
        <v/>
      </c>
      <c r="AH448" s="12" t="str">
        <f t="shared" si="209"/>
        <v/>
      </c>
      <c r="AI448" s="12" t="str">
        <f t="shared" si="210"/>
        <v/>
      </c>
      <c r="AJ448" s="12" t="str">
        <f t="shared" si="211"/>
        <v/>
      </c>
    </row>
    <row r="449" spans="1:36" x14ac:dyDescent="0.25">
      <c r="A449" s="17">
        <f t="shared" si="206"/>
        <v>9</v>
      </c>
      <c r="B449" s="8" t="s">
        <v>35</v>
      </c>
      <c r="C449" s="4" t="s">
        <v>24</v>
      </c>
      <c r="D449" s="5" t="s">
        <v>0</v>
      </c>
      <c r="E449" s="5"/>
      <c r="F449" s="5" t="s">
        <v>1</v>
      </c>
      <c r="G449" s="5" t="s">
        <v>1</v>
      </c>
      <c r="H449" s="17" t="str">
        <f t="shared" si="200"/>
        <v>""</v>
      </c>
      <c r="I449" s="5" t="s">
        <v>46</v>
      </c>
      <c r="J449" s="5" t="s">
        <v>46</v>
      </c>
      <c r="K449" s="5" t="s">
        <v>46</v>
      </c>
      <c r="L449" s="5" t="s">
        <v>46</v>
      </c>
      <c r="M449" s="5" t="s">
        <v>22</v>
      </c>
      <c r="N449" s="8">
        <f t="shared" si="207"/>
        <v>1</v>
      </c>
      <c r="O449" s="5">
        <v>0</v>
      </c>
      <c r="P449" s="5">
        <v>0</v>
      </c>
      <c r="Q449" s="5" t="s">
        <v>23</v>
      </c>
      <c r="R449" s="5" t="s">
        <v>23</v>
      </c>
      <c r="S449" s="5" t="s">
        <v>23</v>
      </c>
      <c r="T449" s="5" t="s">
        <v>46</v>
      </c>
      <c r="U449" s="5" t="s">
        <v>46</v>
      </c>
      <c r="V449" s="5" t="s">
        <v>46</v>
      </c>
      <c r="W449" s="5">
        <v>0</v>
      </c>
      <c r="X449" s="10" t="s">
        <v>77</v>
      </c>
      <c r="Y449" s="10"/>
      <c r="Z449" s="10"/>
      <c r="AB449" s="2" t="str">
        <f>CONCATENATE(B449,C449,D449,",""",E449,""",",F449,",",G449,",",H449,",",I449,",",J449,",",K449,",",L449,",",M449,",",N449,",",O449,",",P449,",",Q449,",",R449,",",S449,",",T449,",",U449,",",V449,",",W449,"},//",Y440,Y449)</f>
        <v>/*9*/{" ","","","","",false,false,false,false,10.0,1,0,0,0.0,0.0,0.0,false,false,false,0},//</v>
      </c>
      <c r="AD449" s="12" t="str">
        <f t="shared" si="212"/>
        <v/>
      </c>
      <c r="AE449" s="12" t="str">
        <f t="shared" si="208"/>
        <v/>
      </c>
      <c r="AH449" s="12" t="str">
        <f t="shared" si="209"/>
        <v/>
      </c>
      <c r="AI449" s="12" t="str">
        <f t="shared" si="210"/>
        <v/>
      </c>
      <c r="AJ449" s="12" t="str">
        <f t="shared" si="211"/>
        <v/>
      </c>
    </row>
    <row r="450" spans="1:36" x14ac:dyDescent="0.25">
      <c r="A450" s="17">
        <f t="shared" si="206"/>
        <v>10</v>
      </c>
      <c r="B450" s="8" t="s">
        <v>36</v>
      </c>
      <c r="C450" s="4" t="s">
        <v>24</v>
      </c>
      <c r="D450" s="5" t="s">
        <v>0</v>
      </c>
      <c r="E450" s="5"/>
      <c r="F450" s="5" t="s">
        <v>1</v>
      </c>
      <c r="G450" s="5" t="s">
        <v>1</v>
      </c>
      <c r="H450" s="17" t="str">
        <f t="shared" si="200"/>
        <v>""</v>
      </c>
      <c r="I450" s="5" t="s">
        <v>46</v>
      </c>
      <c r="J450" s="5" t="s">
        <v>46</v>
      </c>
      <c r="K450" s="5" t="s">
        <v>46</v>
      </c>
      <c r="L450" s="5" t="s">
        <v>46</v>
      </c>
      <c r="M450" s="5" t="s">
        <v>22</v>
      </c>
      <c r="N450" s="8">
        <f t="shared" si="207"/>
        <v>1</v>
      </c>
      <c r="O450" s="5">
        <v>0</v>
      </c>
      <c r="P450" s="5">
        <v>0</v>
      </c>
      <c r="Q450" s="5" t="s">
        <v>23</v>
      </c>
      <c r="R450" s="5" t="s">
        <v>23</v>
      </c>
      <c r="S450" s="5" t="s">
        <v>23</v>
      </c>
      <c r="T450" s="5" t="s">
        <v>46</v>
      </c>
      <c r="U450" s="5" t="s">
        <v>46</v>
      </c>
      <c r="V450" s="5" t="s">
        <v>46</v>
      </c>
      <c r="W450" s="5">
        <v>0</v>
      </c>
      <c r="X450" s="10" t="s">
        <v>77</v>
      </c>
      <c r="Y450" s="10"/>
      <c r="Z450" s="10"/>
      <c r="AB450" s="2" t="str">
        <f>CONCATENATE(B450,C450,D450,",""",E450,""",",F450,",",G450,",",H450,",",I450,",",J450,",",K450,",",L450,",",M450,",",N450,",",O450,",",P450,",",Q450,",",R450,",",S450,",",T450,",",U450,",",V450,",",W450,"},//",Y440,Y450)</f>
        <v>/*10*/{" ","","","","",false,false,false,false,10.0,1,0,0,0.0,0.0,0.0,false,false,false,0},//</v>
      </c>
      <c r="AD450" s="12" t="str">
        <f t="shared" si="212"/>
        <v/>
      </c>
      <c r="AE450" s="12" t="str">
        <f t="shared" si="208"/>
        <v/>
      </c>
      <c r="AH450" s="12" t="str">
        <f t="shared" si="209"/>
        <v/>
      </c>
      <c r="AI450" s="12" t="str">
        <f t="shared" si="210"/>
        <v/>
      </c>
      <c r="AJ450" s="12" t="str">
        <f t="shared" si="211"/>
        <v/>
      </c>
    </row>
    <row r="451" spans="1:36" x14ac:dyDescent="0.25">
      <c r="A451" s="17">
        <f t="shared" si="206"/>
        <v>11</v>
      </c>
      <c r="B451" s="8" t="s">
        <v>37</v>
      </c>
      <c r="C451" s="4" t="s">
        <v>24</v>
      </c>
      <c r="D451" s="5" t="s">
        <v>0</v>
      </c>
      <c r="E451" s="5"/>
      <c r="F451" s="5" t="s">
        <v>1</v>
      </c>
      <c r="G451" s="5" t="s">
        <v>1</v>
      </c>
      <c r="H451" s="17" t="str">
        <f t="shared" si="200"/>
        <v>""</v>
      </c>
      <c r="I451" s="5" t="s">
        <v>46</v>
      </c>
      <c r="J451" s="5" t="s">
        <v>46</v>
      </c>
      <c r="K451" s="5" t="s">
        <v>46</v>
      </c>
      <c r="L451" s="5" t="s">
        <v>46</v>
      </c>
      <c r="M451" s="5" t="s">
        <v>22</v>
      </c>
      <c r="N451" s="8">
        <f t="shared" si="207"/>
        <v>1</v>
      </c>
      <c r="O451" s="5">
        <v>0</v>
      </c>
      <c r="P451" s="5">
        <v>0</v>
      </c>
      <c r="Q451" s="5" t="s">
        <v>23</v>
      </c>
      <c r="R451" s="5" t="s">
        <v>23</v>
      </c>
      <c r="S451" s="5" t="s">
        <v>23</v>
      </c>
      <c r="T451" s="5" t="s">
        <v>46</v>
      </c>
      <c r="U451" s="5" t="s">
        <v>46</v>
      </c>
      <c r="V451" s="5" t="s">
        <v>46</v>
      </c>
      <c r="W451" s="5">
        <v>0</v>
      </c>
      <c r="X451" s="10" t="s">
        <v>77</v>
      </c>
      <c r="Y451" s="10"/>
      <c r="Z451" s="10"/>
      <c r="AB451" s="2" t="str">
        <f>CONCATENATE(B451,C451,D451,",""",E451,""",",F451,",",G451,",",H451,",",I451,",",J451,",",K451,",",L451,",",M451,",",N451,",",O451,",",P451,",",Q451,",",R451,",",S451,",",T451,",",U451,",",V451,",",W451,"},//",Y440,Y451)</f>
        <v>/*11*/{" ","","","","",false,false,false,false,10.0,1,0,0,0.0,0.0,0.0,false,false,false,0},//</v>
      </c>
      <c r="AD451" s="12" t="str">
        <f t="shared" si="212"/>
        <v/>
      </c>
      <c r="AE451" s="12" t="str">
        <f t="shared" si="208"/>
        <v/>
      </c>
      <c r="AH451" s="12" t="str">
        <f t="shared" si="209"/>
        <v/>
      </c>
      <c r="AI451" s="12" t="str">
        <f t="shared" si="210"/>
        <v/>
      </c>
      <c r="AJ451" s="12" t="str">
        <f t="shared" si="211"/>
        <v/>
      </c>
    </row>
    <row r="452" spans="1:36" x14ac:dyDescent="0.25">
      <c r="A452" s="17">
        <f t="shared" si="206"/>
        <v>12</v>
      </c>
      <c r="B452" s="8" t="s">
        <v>38</v>
      </c>
      <c r="C452" s="4" t="s">
        <v>24</v>
      </c>
      <c r="D452" s="5" t="s">
        <v>0</v>
      </c>
      <c r="E452" s="5"/>
      <c r="F452" s="5" t="s">
        <v>1</v>
      </c>
      <c r="G452" s="5" t="s">
        <v>1</v>
      </c>
      <c r="H452" s="17" t="str">
        <f t="shared" si="200"/>
        <v>""</v>
      </c>
      <c r="I452" s="5" t="s">
        <v>46</v>
      </c>
      <c r="J452" s="5" t="s">
        <v>46</v>
      </c>
      <c r="K452" s="5" t="s">
        <v>46</v>
      </c>
      <c r="L452" s="5" t="s">
        <v>46</v>
      </c>
      <c r="M452" s="5" t="s">
        <v>22</v>
      </c>
      <c r="N452" s="8">
        <f t="shared" si="207"/>
        <v>1</v>
      </c>
      <c r="O452" s="5">
        <v>0</v>
      </c>
      <c r="P452" s="5">
        <v>0</v>
      </c>
      <c r="Q452" s="5" t="s">
        <v>23</v>
      </c>
      <c r="R452" s="5" t="s">
        <v>23</v>
      </c>
      <c r="S452" s="5" t="s">
        <v>23</v>
      </c>
      <c r="T452" s="5" t="s">
        <v>46</v>
      </c>
      <c r="U452" s="5" t="s">
        <v>46</v>
      </c>
      <c r="V452" s="5" t="s">
        <v>46</v>
      </c>
      <c r="W452" s="5">
        <v>0</v>
      </c>
      <c r="X452" s="10" t="s">
        <v>77</v>
      </c>
      <c r="Y452" s="10"/>
      <c r="Z452" s="10"/>
      <c r="AB452" s="2" t="str">
        <f>CONCATENATE(B452,C452,D452,",""",E452,""",",F452,",",G452,",",H452,",",I452,",",J452,",",K452,",",L452,",",M452,",",N452,",",O452,",",P452,",",Q452,",",R452,",",S452,",",T452,",",U452,",",V452,",",W452,"},//",Y440,Y452)</f>
        <v>/*12*/{" ","","","","",false,false,false,false,10.0,1,0,0,0.0,0.0,0.0,false,false,false,0},//</v>
      </c>
      <c r="AD452" s="12" t="str">
        <f t="shared" si="212"/>
        <v/>
      </c>
      <c r="AE452" s="12" t="str">
        <f t="shared" si="208"/>
        <v/>
      </c>
      <c r="AH452" s="12" t="str">
        <f t="shared" si="209"/>
        <v/>
      </c>
      <c r="AI452" s="12" t="str">
        <f t="shared" si="210"/>
        <v/>
      </c>
      <c r="AJ452" s="12" t="str">
        <f t="shared" si="211"/>
        <v/>
      </c>
    </row>
    <row r="453" spans="1:36" x14ac:dyDescent="0.25">
      <c r="A453" s="17">
        <f t="shared" si="206"/>
        <v>13</v>
      </c>
      <c r="B453" s="8" t="s">
        <v>39</v>
      </c>
      <c r="C453" s="4" t="s">
        <v>24</v>
      </c>
      <c r="D453" s="5" t="s">
        <v>0</v>
      </c>
      <c r="E453" s="5"/>
      <c r="F453" s="5" t="s">
        <v>1</v>
      </c>
      <c r="G453" s="5" t="s">
        <v>1</v>
      </c>
      <c r="H453" s="17" t="str">
        <f t="shared" si="200"/>
        <v>""</v>
      </c>
      <c r="I453" s="5" t="s">
        <v>46</v>
      </c>
      <c r="J453" s="5" t="s">
        <v>46</v>
      </c>
      <c r="K453" s="5" t="s">
        <v>46</v>
      </c>
      <c r="L453" s="5" t="s">
        <v>46</v>
      </c>
      <c r="M453" s="5" t="s">
        <v>22</v>
      </c>
      <c r="N453" s="8">
        <f t="shared" si="207"/>
        <v>1</v>
      </c>
      <c r="O453" s="5">
        <v>0</v>
      </c>
      <c r="P453" s="5">
        <v>0</v>
      </c>
      <c r="Q453" s="5" t="s">
        <v>23</v>
      </c>
      <c r="R453" s="5" t="s">
        <v>23</v>
      </c>
      <c r="S453" s="5" t="s">
        <v>23</v>
      </c>
      <c r="T453" s="5" t="s">
        <v>46</v>
      </c>
      <c r="U453" s="5" t="s">
        <v>46</v>
      </c>
      <c r="V453" s="5" t="s">
        <v>46</v>
      </c>
      <c r="W453" s="5">
        <v>0</v>
      </c>
      <c r="X453" s="10" t="s">
        <v>77</v>
      </c>
      <c r="Y453" s="10"/>
      <c r="Z453" s="10"/>
      <c r="AB453" s="2" t="str">
        <f>CONCATENATE(B453,C453,D453,",""",E453,""",",F453,",",G453,",",H453,",",I453,",",J453,",",K453,",",L453,",",M453,",",N453,",",O453,",",P453,",",Q453,",",R453,",",S453,",",T453,",",U453,",",V453,",",W453,"},//",Y440,Y453)</f>
        <v>/*13*/{" ","","","","",false,false,false,false,10.0,1,0,0,0.0,0.0,0.0,false,false,false,0},//</v>
      </c>
      <c r="AD453" s="12" t="str">
        <f t="shared" si="212"/>
        <v/>
      </c>
      <c r="AE453" s="12" t="str">
        <f t="shared" si="208"/>
        <v/>
      </c>
      <c r="AH453" s="12" t="str">
        <f t="shared" si="209"/>
        <v/>
      </c>
      <c r="AI453" s="12" t="str">
        <f t="shared" si="210"/>
        <v/>
      </c>
      <c r="AJ453" s="12" t="str">
        <f t="shared" si="211"/>
        <v/>
      </c>
    </row>
    <row r="454" spans="1:36" x14ac:dyDescent="0.25">
      <c r="A454" s="17">
        <f t="shared" si="206"/>
        <v>14</v>
      </c>
      <c r="B454" s="8" t="s">
        <v>40</v>
      </c>
      <c r="C454" s="4" t="s">
        <v>24</v>
      </c>
      <c r="D454" s="5" t="s">
        <v>0</v>
      </c>
      <c r="E454" s="5"/>
      <c r="F454" s="5" t="s">
        <v>1</v>
      </c>
      <c r="G454" s="5" t="s">
        <v>1</v>
      </c>
      <c r="H454" s="17" t="str">
        <f t="shared" si="200"/>
        <v>""</v>
      </c>
      <c r="I454" s="5" t="s">
        <v>46</v>
      </c>
      <c r="J454" s="5" t="s">
        <v>46</v>
      </c>
      <c r="K454" s="5" t="s">
        <v>46</v>
      </c>
      <c r="L454" s="5" t="s">
        <v>46</v>
      </c>
      <c r="M454" s="5" t="s">
        <v>22</v>
      </c>
      <c r="N454" s="8">
        <f t="shared" si="207"/>
        <v>1</v>
      </c>
      <c r="O454" s="5">
        <v>0</v>
      </c>
      <c r="P454" s="5">
        <v>0</v>
      </c>
      <c r="Q454" s="5" t="s">
        <v>23</v>
      </c>
      <c r="R454" s="5" t="s">
        <v>23</v>
      </c>
      <c r="S454" s="5" t="s">
        <v>23</v>
      </c>
      <c r="T454" s="5" t="s">
        <v>46</v>
      </c>
      <c r="U454" s="5" t="s">
        <v>46</v>
      </c>
      <c r="V454" s="5" t="s">
        <v>46</v>
      </c>
      <c r="W454" s="5">
        <v>0</v>
      </c>
      <c r="X454" s="10" t="s">
        <v>77</v>
      </c>
      <c r="Y454" s="10"/>
      <c r="Z454" s="10"/>
      <c r="AB454" s="2" t="str">
        <f>CONCATENATE(B454,C454,D454,",""",E454,""",",F454,",",G454,",",H454,",",I454,",",J454,",",K454,",",L454,",",M454,",",N454,",",O454,",",P454,",",Q454,",",R454,",",S454,",",T454,",",U454,",",V454,",",W454,"},//",Y440,Y454)</f>
        <v>/*14*/{" ","","","","",false,false,false,false,10.0,1,0,0,0.0,0.0,0.0,false,false,false,0},//</v>
      </c>
      <c r="AD454" s="12" t="str">
        <f t="shared" si="212"/>
        <v/>
      </c>
      <c r="AE454" s="12" t="str">
        <f t="shared" si="208"/>
        <v/>
      </c>
      <c r="AH454" s="12" t="str">
        <f t="shared" si="209"/>
        <v/>
      </c>
      <c r="AI454" s="12" t="str">
        <f t="shared" si="210"/>
        <v/>
      </c>
      <c r="AJ454" s="12" t="str">
        <f t="shared" si="211"/>
        <v/>
      </c>
    </row>
    <row r="455" spans="1:36" x14ac:dyDescent="0.25">
      <c r="A455" s="17">
        <f t="shared" si="206"/>
        <v>15</v>
      </c>
      <c r="B455" s="8" t="s">
        <v>41</v>
      </c>
      <c r="C455" s="4" t="s">
        <v>24</v>
      </c>
      <c r="D455" s="5" t="s">
        <v>0</v>
      </c>
      <c r="E455" s="5"/>
      <c r="F455" s="5" t="s">
        <v>1</v>
      </c>
      <c r="G455" s="5" t="s">
        <v>1</v>
      </c>
      <c r="H455" s="17" t="str">
        <f t="shared" si="200"/>
        <v>""</v>
      </c>
      <c r="I455" s="5" t="s">
        <v>46</v>
      </c>
      <c r="J455" s="5" t="s">
        <v>46</v>
      </c>
      <c r="K455" s="5" t="s">
        <v>46</v>
      </c>
      <c r="L455" s="5" t="s">
        <v>46</v>
      </c>
      <c r="M455" s="5" t="s">
        <v>22</v>
      </c>
      <c r="N455" s="8">
        <f t="shared" si="207"/>
        <v>1</v>
      </c>
      <c r="O455" s="5">
        <v>0</v>
      </c>
      <c r="P455" s="5">
        <v>0</v>
      </c>
      <c r="Q455" s="5" t="s">
        <v>23</v>
      </c>
      <c r="R455" s="5" t="s">
        <v>23</v>
      </c>
      <c r="S455" s="5" t="s">
        <v>23</v>
      </c>
      <c r="T455" s="5" t="s">
        <v>46</v>
      </c>
      <c r="U455" s="5" t="s">
        <v>46</v>
      </c>
      <c r="V455" s="5" t="s">
        <v>46</v>
      </c>
      <c r="W455" s="5">
        <v>0</v>
      </c>
      <c r="X455" s="10" t="s">
        <v>77</v>
      </c>
      <c r="Y455" s="10"/>
      <c r="Z455" s="10"/>
      <c r="AB455" s="2" t="str">
        <f>CONCATENATE(B455,C455,D455,",""",E455,""",",F455,",",G455,",",H455,",",I455,",",J455,",",K455,",",L455,",",M455,",",N455,",",O455,",",P455,",",Q455,",",R455,",",S455,",",T455,",",U455,",",V455,",",W455,"},//",Y440,Y455)</f>
        <v>/*15*/{" ","","","","",false,false,false,false,10.0,1,0,0,0.0,0.0,0.0,false,false,false,0},//</v>
      </c>
      <c r="AD455" s="12" t="str">
        <f t="shared" si="212"/>
        <v/>
      </c>
      <c r="AE455" s="12" t="str">
        <f t="shared" si="208"/>
        <v/>
      </c>
      <c r="AH455" s="12" t="str">
        <f t="shared" si="209"/>
        <v/>
      </c>
      <c r="AI455" s="12" t="str">
        <f t="shared" si="210"/>
        <v/>
      </c>
      <c r="AJ455" s="12" t="str">
        <f t="shared" si="211"/>
        <v/>
      </c>
    </row>
    <row r="456" spans="1:36" x14ac:dyDescent="0.25">
      <c r="A456" s="17">
        <f t="shared" si="206"/>
        <v>16</v>
      </c>
      <c r="B456" s="8" t="s">
        <v>42</v>
      </c>
      <c r="C456" s="4" t="s">
        <v>24</v>
      </c>
      <c r="D456" s="5" t="s">
        <v>0</v>
      </c>
      <c r="E456" s="5"/>
      <c r="F456" s="5" t="s">
        <v>1</v>
      </c>
      <c r="G456" s="5" t="s">
        <v>1</v>
      </c>
      <c r="H456" s="17" t="str">
        <f t="shared" si="200"/>
        <v>""</v>
      </c>
      <c r="I456" s="5" t="s">
        <v>46</v>
      </c>
      <c r="J456" s="5" t="s">
        <v>46</v>
      </c>
      <c r="K456" s="5" t="s">
        <v>46</v>
      </c>
      <c r="L456" s="5" t="s">
        <v>46</v>
      </c>
      <c r="M456" s="5" t="s">
        <v>22</v>
      </c>
      <c r="N456" s="8">
        <f t="shared" si="207"/>
        <v>1</v>
      </c>
      <c r="O456" s="5">
        <v>0</v>
      </c>
      <c r="P456" s="5">
        <v>0</v>
      </c>
      <c r="Q456" s="5" t="s">
        <v>23</v>
      </c>
      <c r="R456" s="5" t="s">
        <v>23</v>
      </c>
      <c r="S456" s="5" t="s">
        <v>23</v>
      </c>
      <c r="T456" s="5" t="s">
        <v>46</v>
      </c>
      <c r="U456" s="5" t="s">
        <v>46</v>
      </c>
      <c r="V456" s="5" t="s">
        <v>46</v>
      </c>
      <c r="W456" s="5">
        <v>0</v>
      </c>
      <c r="X456" s="10" t="s">
        <v>77</v>
      </c>
      <c r="Y456" s="10"/>
      <c r="Z456" s="10"/>
      <c r="AB456" s="2" t="str">
        <f>CONCATENATE(B456,C456,D456,",""",E456,""",",F456,",",G456,",",H456,",",I456,",",J456,",",K456,",",L456,",",M456,",",N456,",",O456,",",P456,",",Q456,",",R456,",",S456,",",T456,",",U456,",",V456,",",W456,"},//",Y440,Y456)</f>
        <v>/*16*/{" ","","","","",false,false,false,false,10.0,1,0,0,0.0,0.0,0.0,false,false,false,0},//</v>
      </c>
      <c r="AD456" s="12" t="str">
        <f t="shared" si="212"/>
        <v/>
      </c>
      <c r="AE456" s="12" t="str">
        <f t="shared" si="208"/>
        <v/>
      </c>
      <c r="AH456" s="12" t="str">
        <f t="shared" si="209"/>
        <v/>
      </c>
      <c r="AI456" s="12" t="str">
        <f t="shared" si="210"/>
        <v/>
      </c>
      <c r="AJ456" s="12" t="str">
        <f t="shared" si="211"/>
        <v/>
      </c>
    </row>
    <row r="457" spans="1:36" x14ac:dyDescent="0.25">
      <c r="A457" s="17">
        <f t="shared" si="206"/>
        <v>17</v>
      </c>
      <c r="B457" s="8" t="s">
        <v>43</v>
      </c>
      <c r="C457" s="4" t="s">
        <v>24</v>
      </c>
      <c r="D457" s="5" t="s">
        <v>0</v>
      </c>
      <c r="E457" s="5"/>
      <c r="F457" s="5" t="s">
        <v>1</v>
      </c>
      <c r="G457" s="5" t="s">
        <v>1</v>
      </c>
      <c r="H457" s="17" t="str">
        <f t="shared" si="200"/>
        <v>""</v>
      </c>
      <c r="I457" s="5" t="s">
        <v>46</v>
      </c>
      <c r="J457" s="5" t="s">
        <v>46</v>
      </c>
      <c r="K457" s="5" t="s">
        <v>46</v>
      </c>
      <c r="L457" s="5" t="s">
        <v>46</v>
      </c>
      <c r="M457" s="5" t="s">
        <v>22</v>
      </c>
      <c r="N457" s="8">
        <f t="shared" si="207"/>
        <v>1</v>
      </c>
      <c r="O457" s="5">
        <v>0</v>
      </c>
      <c r="P457" s="5">
        <v>0</v>
      </c>
      <c r="Q457" s="5" t="s">
        <v>23</v>
      </c>
      <c r="R457" s="5" t="s">
        <v>23</v>
      </c>
      <c r="S457" s="5" t="s">
        <v>23</v>
      </c>
      <c r="T457" s="5" t="s">
        <v>46</v>
      </c>
      <c r="U457" s="5" t="s">
        <v>46</v>
      </c>
      <c r="V457" s="5" t="s">
        <v>46</v>
      </c>
      <c r="W457" s="5">
        <v>0</v>
      </c>
      <c r="X457" s="10" t="s">
        <v>77</v>
      </c>
      <c r="Y457" s="10"/>
      <c r="Z457" s="10"/>
      <c r="AB457" s="2" t="str">
        <f>CONCATENATE(B457,C457,D457,",""",E457,""",",F457,",",G457,",",H457,",",I457,",",J457,",",K457,",",L457,",",M457,",",N457,",",O457,",",P457,",",Q457,",",R457,",",S457,",",T457,",",U457,",",V457,",",W457,"},//",Y440,Y457)</f>
        <v>/*17*/{" ","","","","",false,false,false,false,10.0,1,0,0,0.0,0.0,0.0,false,false,false,0},//</v>
      </c>
      <c r="AD457" s="12" t="str">
        <f t="shared" si="212"/>
        <v/>
      </c>
      <c r="AE457" s="12" t="str">
        <f t="shared" si="208"/>
        <v/>
      </c>
      <c r="AH457" s="12" t="str">
        <f t="shared" si="209"/>
        <v/>
      </c>
      <c r="AI457" s="12" t="str">
        <f t="shared" si="210"/>
        <v/>
      </c>
      <c r="AJ457" s="12" t="str">
        <f t="shared" si="211"/>
        <v/>
      </c>
    </row>
    <row r="458" spans="1:36" x14ac:dyDescent="0.25">
      <c r="A458" s="17">
        <f t="shared" si="206"/>
        <v>18</v>
      </c>
      <c r="B458" s="8" t="s">
        <v>44</v>
      </c>
      <c r="C458" s="4" t="s">
        <v>24</v>
      </c>
      <c r="D458" s="5" t="s">
        <v>0</v>
      </c>
      <c r="E458" s="5"/>
      <c r="F458" s="5" t="s">
        <v>1</v>
      </c>
      <c r="G458" s="5" t="s">
        <v>1</v>
      </c>
      <c r="H458" s="17" t="str">
        <f t="shared" si="200"/>
        <v>""</v>
      </c>
      <c r="I458" s="5" t="s">
        <v>46</v>
      </c>
      <c r="J458" s="5" t="s">
        <v>46</v>
      </c>
      <c r="K458" s="5" t="s">
        <v>46</v>
      </c>
      <c r="L458" s="5" t="s">
        <v>46</v>
      </c>
      <c r="M458" s="5" t="s">
        <v>22</v>
      </c>
      <c r="N458" s="8">
        <f t="shared" si="207"/>
        <v>1</v>
      </c>
      <c r="O458" s="5">
        <v>0</v>
      </c>
      <c r="P458" s="5">
        <v>0</v>
      </c>
      <c r="Q458" s="5" t="s">
        <v>23</v>
      </c>
      <c r="R458" s="5" t="s">
        <v>23</v>
      </c>
      <c r="S458" s="5" t="s">
        <v>23</v>
      </c>
      <c r="T458" s="5" t="s">
        <v>46</v>
      </c>
      <c r="U458" s="5" t="s">
        <v>46</v>
      </c>
      <c r="V458" s="5" t="s">
        <v>46</v>
      </c>
      <c r="W458" s="5">
        <v>0</v>
      </c>
      <c r="X458" s="10" t="s">
        <v>77</v>
      </c>
      <c r="Y458" s="10"/>
      <c r="Z458" s="10"/>
      <c r="AB458" s="2" t="str">
        <f>CONCATENATE(B458,C458,D458,",""",E458,""",",F458,",",G458,",",H458,",",I458,",",J458,",",K458,",",L458,",",M458,",",N458,",",O458,",",P458,",",Q458,",",R458,",",S458,",",T458,",",U458,",",V458,",",W458,"},//",Y440,Y458)</f>
        <v>/*18*/{" ","","","","",false,false,false,false,10.0,1,0,0,0.0,0.0,0.0,false,false,false,0},//</v>
      </c>
      <c r="AD458" s="12" t="str">
        <f t="shared" si="212"/>
        <v/>
      </c>
      <c r="AE458" s="12" t="str">
        <f t="shared" si="208"/>
        <v/>
      </c>
      <c r="AH458" s="12" t="str">
        <f t="shared" si="209"/>
        <v/>
      </c>
      <c r="AI458" s="12" t="str">
        <f t="shared" si="210"/>
        <v/>
      </c>
      <c r="AJ458" s="12" t="str">
        <f t="shared" si="211"/>
        <v/>
      </c>
    </row>
    <row r="459" spans="1:36" x14ac:dyDescent="0.25">
      <c r="A459" s="17">
        <f t="shared" si="206"/>
        <v>19</v>
      </c>
      <c r="B459" s="8" t="s">
        <v>45</v>
      </c>
      <c r="C459" s="4" t="s">
        <v>24</v>
      </c>
      <c r="D459" s="5" t="s">
        <v>0</v>
      </c>
      <c r="E459" s="5"/>
      <c r="F459" s="5" t="s">
        <v>1</v>
      </c>
      <c r="G459" s="5" t="s">
        <v>1</v>
      </c>
      <c r="H459" s="17" t="str">
        <f t="shared" si="200"/>
        <v>""</v>
      </c>
      <c r="I459" s="5" t="s">
        <v>46</v>
      </c>
      <c r="J459" s="5" t="s">
        <v>46</v>
      </c>
      <c r="K459" s="5" t="s">
        <v>46</v>
      </c>
      <c r="L459" s="5" t="s">
        <v>46</v>
      </c>
      <c r="M459" s="5" t="s">
        <v>22</v>
      </c>
      <c r="N459" s="8">
        <f t="shared" si="207"/>
        <v>1</v>
      </c>
      <c r="O459" s="5">
        <v>0</v>
      </c>
      <c r="P459" s="5">
        <v>0</v>
      </c>
      <c r="Q459" s="5" t="s">
        <v>23</v>
      </c>
      <c r="R459" s="5" t="s">
        <v>23</v>
      </c>
      <c r="S459" s="5" t="s">
        <v>23</v>
      </c>
      <c r="T459" s="5" t="s">
        <v>46</v>
      </c>
      <c r="U459" s="5" t="s">
        <v>46</v>
      </c>
      <c r="V459" s="5" t="s">
        <v>46</v>
      </c>
      <c r="W459" s="5">
        <v>0</v>
      </c>
      <c r="X459" s="10" t="s">
        <v>77</v>
      </c>
      <c r="Y459" s="10"/>
      <c r="Z459" s="10"/>
      <c r="AB459" s="2" t="str">
        <f>CONCATENATE(B459,C459,D459,",""",E459,""",",F459,",",G459,",",H459,",",I459,",",J459,",",K459,",",L459,",",M459,",",N459,",",O459,",",P459,",",Q459,",",R459,",",S459,",",T459,",",U459,",",V459,",",W459,"}//",Y440,Y459)</f>
        <v>/*19*/{" ","","","","",false,false,false,false,10.0,1,0,0,0.0,0.0,0.0,false,false,false,0}//</v>
      </c>
      <c r="AD459" s="12" t="str">
        <f t="shared" si="212"/>
        <v/>
      </c>
      <c r="AE459" s="12" t="str">
        <f t="shared" si="208"/>
        <v/>
      </c>
      <c r="AH459" s="12" t="str">
        <f t="shared" ref="AH459" si="213">IF(X459="Да",CONCATENATE("Ref.",,SUBSTITUTE(Z459," ","")," = ",$AI$1,$B$29,SUBSTITUTE(E459," ",""),";//",$Y$32,". ",Y459),"")</f>
        <v/>
      </c>
      <c r="AI459" s="12" t="str">
        <f>IF(X459="Да",CONCATENATE($AI$1,SUBSTITUTE(Z459," ","")," = Ref.",SUBSTITUTE(Z459," ",""),";//",$Y$32,". ",Y459),"")</f>
        <v/>
      </c>
      <c r="AJ459" s="12" t="str">
        <f t="shared" si="211"/>
        <v/>
      </c>
    </row>
    <row r="460" spans="1:36" x14ac:dyDescent="0.25">
      <c r="C460" s="21"/>
      <c r="D460" s="21"/>
      <c r="E460" s="5"/>
      <c r="AB460" s="3" t="s">
        <v>25</v>
      </c>
    </row>
    <row r="461" spans="1:36" x14ac:dyDescent="0.25">
      <c r="A461" s="14">
        <f>A437+1</f>
        <v>19</v>
      </c>
      <c r="D461" s="7" t="s">
        <v>73</v>
      </c>
      <c r="AB461" s="3" t="s">
        <v>51</v>
      </c>
    </row>
    <row r="462" spans="1:36" ht="45" x14ac:dyDescent="0.25">
      <c r="A462" s="15" t="s">
        <v>78</v>
      </c>
      <c r="B462" s="18"/>
      <c r="C462" s="6" t="s">
        <v>25</v>
      </c>
      <c r="D462" s="6" t="s">
        <v>17</v>
      </c>
      <c r="E462" s="6" t="s">
        <v>18</v>
      </c>
      <c r="F462" s="6" t="s">
        <v>19</v>
      </c>
      <c r="G462" s="6" t="s">
        <v>20</v>
      </c>
      <c r="H462" s="6" t="s">
        <v>21</v>
      </c>
      <c r="I462" s="6" t="s">
        <v>2</v>
      </c>
      <c r="J462" s="6" t="s">
        <v>3</v>
      </c>
      <c r="K462" s="6" t="s">
        <v>4</v>
      </c>
      <c r="L462" s="6" t="s">
        <v>5</v>
      </c>
      <c r="M462" s="6" t="s">
        <v>6</v>
      </c>
      <c r="N462" s="6" t="s">
        <v>7</v>
      </c>
      <c r="O462" s="6" t="s">
        <v>8</v>
      </c>
      <c r="P462" s="6" t="s">
        <v>9</v>
      </c>
      <c r="Q462" s="6" t="s">
        <v>10</v>
      </c>
      <c r="R462" s="6" t="s">
        <v>11</v>
      </c>
      <c r="S462" s="6" t="s">
        <v>12</v>
      </c>
      <c r="T462" s="6" t="s">
        <v>13</v>
      </c>
      <c r="U462" s="6" t="s">
        <v>14</v>
      </c>
      <c r="V462" s="6" t="s">
        <v>15</v>
      </c>
      <c r="W462" s="6" t="s">
        <v>16</v>
      </c>
      <c r="X462" s="6" t="s">
        <v>76</v>
      </c>
      <c r="Y462" s="6" t="s">
        <v>80</v>
      </c>
      <c r="Z462" s="6" t="s">
        <v>97</v>
      </c>
      <c r="AA462" s="1"/>
      <c r="AB462" s="2" t="str">
        <f>CONCATENATE(D461," - ",E464)</f>
        <v xml:space="preserve">//Экран 19 - </v>
      </c>
    </row>
    <row r="463" spans="1:36" x14ac:dyDescent="0.25">
      <c r="A463" s="16"/>
      <c r="B463" s="13"/>
      <c r="C463" s="4" t="s">
        <v>24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11"/>
      <c r="Y463" s="11"/>
      <c r="Z463" s="11"/>
      <c r="AA463" s="1"/>
      <c r="AB463" s="3" t="str">
        <f>C463</f>
        <v>{</v>
      </c>
    </row>
    <row r="464" spans="1:36" x14ac:dyDescent="0.25">
      <c r="A464" s="17">
        <v>0</v>
      </c>
      <c r="B464" s="8" t="s">
        <v>27</v>
      </c>
      <c r="C464" s="4" t="s">
        <v>24</v>
      </c>
      <c r="D464" s="5" t="s">
        <v>0</v>
      </c>
      <c r="E464" s="5"/>
      <c r="F464" s="5" t="s">
        <v>1</v>
      </c>
      <c r="G464" s="5" t="s">
        <v>1</v>
      </c>
      <c r="H464" s="17" t="str">
        <f t="shared" ref="H464:H483" si="214">IF(AND(I464="true",J464="false"),""" ""","""""")</f>
        <v>""</v>
      </c>
      <c r="I464" s="5" t="s">
        <v>46</v>
      </c>
      <c r="J464" s="5" t="s">
        <v>46</v>
      </c>
      <c r="K464" s="5" t="s">
        <v>46</v>
      </c>
      <c r="L464" s="5" t="s">
        <v>47</v>
      </c>
      <c r="M464" s="5" t="s">
        <v>22</v>
      </c>
      <c r="N464" s="8">
        <v>1</v>
      </c>
      <c r="O464" s="5">
        <v>0</v>
      </c>
      <c r="P464" s="5">
        <v>0</v>
      </c>
      <c r="Q464" s="5" t="s">
        <v>48</v>
      </c>
      <c r="R464" s="5" t="s">
        <v>23</v>
      </c>
      <c r="S464" s="5" t="s">
        <v>49</v>
      </c>
      <c r="T464" s="5" t="s">
        <v>46</v>
      </c>
      <c r="U464" s="5" t="s">
        <v>46</v>
      </c>
      <c r="V464" s="5" t="s">
        <v>46</v>
      </c>
      <c r="W464" s="5">
        <v>0</v>
      </c>
      <c r="X464" s="10" t="s">
        <v>77</v>
      </c>
      <c r="Y464" s="10"/>
      <c r="Z464" s="10"/>
      <c r="AB464" s="2" t="str">
        <f>CONCATENATE(B464,C464,D464,",""",E464,""",",F464,",",G464,",",H464,",",I464,",",J464,",",K464,",",L464,",",M464,",",N464,",",O464,",",P464,",",Q464,",",R464,",",S464,",",T464,",",U464,",",V464,",",W464,"},//",Y464)</f>
        <v>/*0*/{" ","","","","",false,false,false,true,10.0,1,0,0,100.0,0.0,0.1,false,false,false,0},//</v>
      </c>
      <c r="AD464" s="12" t="str">
        <f t="shared" ref="AD464:AD467" si="215">IF(X464="Да",CONCATENATE("float &amp;",SUBSTITUTE(Z464," ","")," = Screens[",$A$29,"][",A464,"].Param;// Ссылка. ",$Y$32,". ",Y464),"")</f>
        <v/>
      </c>
      <c r="AE464" s="12" t="str">
        <f t="shared" ref="AE464" si="216">IF(X464="Да",CONCATENATE("float ",SUBSTITUTE(Z464," ","")," = Screens[",$A$29,"][",A464,"].Param;//",$Y$32,". ",Y464),"")</f>
        <v/>
      </c>
      <c r="AH464" s="12" t="str">
        <f t="shared" ref="AH464" si="217">IF(X464="Да",CONCATENATE("Ref.",,SUBSTITUTE(Z464," ","")," = ",$AI$1,SUBSTITUTE(Z464," ",""),";//",$Y$32,". ",Y464),"")</f>
        <v/>
      </c>
      <c r="AI464" s="12" t="str">
        <f t="shared" ref="AI464" si="218">IF(X464="Да",CONCATENATE($AI$1,SUBSTITUTE(Z464," ","")," = Ref.",SUBSTITUTE(Z464," ",""),";//",$Y$32,". ",Y464),"")</f>
        <v/>
      </c>
      <c r="AJ464" s="12" t="str">
        <f t="shared" ref="AJ464" si="219">IF(X464="Да",CONCATENATE($AI$1,SUBSTITUTE(Z464," ","")," = ",M464,";//",$Y$32,". ",Y464),"")</f>
        <v/>
      </c>
    </row>
    <row r="465" spans="1:36" x14ac:dyDescent="0.25">
      <c r="A465" s="17">
        <f>A464+1</f>
        <v>1</v>
      </c>
      <c r="B465" s="8" t="s">
        <v>26</v>
      </c>
      <c r="C465" s="4" t="s">
        <v>24</v>
      </c>
      <c r="D465" s="5" t="s">
        <v>0</v>
      </c>
      <c r="E465" s="5"/>
      <c r="F465" s="5" t="s">
        <v>1</v>
      </c>
      <c r="G465" s="5" t="s">
        <v>1</v>
      </c>
      <c r="H465" s="17" t="str">
        <f t="shared" si="214"/>
        <v>""</v>
      </c>
      <c r="I465" s="5" t="s">
        <v>46</v>
      </c>
      <c r="J465" s="5" t="s">
        <v>46</v>
      </c>
      <c r="K465" s="5" t="s">
        <v>46</v>
      </c>
      <c r="L465" s="5" t="s">
        <v>46</v>
      </c>
      <c r="M465" s="5" t="s">
        <v>22</v>
      </c>
      <c r="N465" s="8">
        <f>N464</f>
        <v>1</v>
      </c>
      <c r="O465" s="5">
        <v>0</v>
      </c>
      <c r="P465" s="5">
        <v>0</v>
      </c>
      <c r="Q465" s="5" t="s">
        <v>23</v>
      </c>
      <c r="R465" s="5" t="s">
        <v>23</v>
      </c>
      <c r="S465" s="5" t="s">
        <v>23</v>
      </c>
      <c r="T465" s="5" t="s">
        <v>46</v>
      </c>
      <c r="U465" s="5" t="s">
        <v>46</v>
      </c>
      <c r="V465" s="5" t="s">
        <v>46</v>
      </c>
      <c r="W465" s="5">
        <v>0</v>
      </c>
      <c r="X465" s="10" t="s">
        <v>77</v>
      </c>
      <c r="Y465" s="10"/>
      <c r="Z465" s="10"/>
      <c r="AB465" s="2" t="str">
        <f>CONCATENATE(B465,C465,D465,",""",E465,""",",F465,",",G465,",",H465,",",I465,",",J465,",",K465,",",L465,",",M465,",",N465,",",O465,",",P465,",",Q465,",",R465,",",S465,",",T465,",",U465,",",V465,",",W465,"},//",Y464,Y465)</f>
        <v>/*1*/{" ","","","","",false,false,false,false,10.0,1,0,0,0.0,0.0,0.0,false,false,false,0},//</v>
      </c>
      <c r="AD465" s="12" t="str">
        <f t="shared" si="215"/>
        <v/>
      </c>
      <c r="AE465" s="12" t="str">
        <f>IF(X465="Да",CONCATENATE("float ",SUBSTITUTE(Z465," ","")," = Screens[",$A$29,"][",A465,"].Param;//",$Y$32,". ",Y465),"")</f>
        <v/>
      </c>
      <c r="AH465" s="12" t="str">
        <f>IF(X465="Да",CONCATENATE("Ref.",,SUBSTITUTE(Z465," ","")," = ",$AI$1,SUBSTITUTE(Z465," ",""),";//",$Y$32,". ",Y465),"")</f>
        <v/>
      </c>
      <c r="AI465" s="12" t="str">
        <f>IF(X465="Да",CONCATENATE($AI$1,SUBSTITUTE(Z465," ","")," = Ref.",SUBSTITUTE(Z465," ",""),";//",$Y$32,". ",Y465),"")</f>
        <v/>
      </c>
      <c r="AJ465" s="12" t="str">
        <f>IF(X465="Да",CONCATENATE($AI$1,SUBSTITUTE(Z465," ","")," = ",M465,";//",$Y$32,". ",Y465),"")</f>
        <v/>
      </c>
    </row>
    <row r="466" spans="1:36" x14ac:dyDescent="0.25">
      <c r="A466" s="17">
        <f t="shared" ref="A466:A483" si="220">A465+1</f>
        <v>2</v>
      </c>
      <c r="B466" s="8" t="s">
        <v>28</v>
      </c>
      <c r="C466" s="4" t="s">
        <v>24</v>
      </c>
      <c r="D466" s="5" t="s">
        <v>0</v>
      </c>
      <c r="E466" s="5"/>
      <c r="F466" s="5" t="s">
        <v>1</v>
      </c>
      <c r="G466" s="5" t="s">
        <v>1</v>
      </c>
      <c r="H466" s="17" t="str">
        <f t="shared" si="214"/>
        <v>""</v>
      </c>
      <c r="I466" s="5" t="s">
        <v>46</v>
      </c>
      <c r="J466" s="5" t="s">
        <v>46</v>
      </c>
      <c r="K466" s="5" t="s">
        <v>46</v>
      </c>
      <c r="L466" s="5" t="s">
        <v>46</v>
      </c>
      <c r="M466" s="5" t="s">
        <v>22</v>
      </c>
      <c r="N466" s="8">
        <f t="shared" ref="N466:N483" si="221">N465</f>
        <v>1</v>
      </c>
      <c r="O466" s="5">
        <v>0</v>
      </c>
      <c r="P466" s="5">
        <v>0</v>
      </c>
      <c r="Q466" s="5" t="s">
        <v>23</v>
      </c>
      <c r="R466" s="5" t="s">
        <v>23</v>
      </c>
      <c r="S466" s="5" t="s">
        <v>23</v>
      </c>
      <c r="T466" s="5" t="s">
        <v>46</v>
      </c>
      <c r="U466" s="5" t="s">
        <v>46</v>
      </c>
      <c r="V466" s="5" t="s">
        <v>46</v>
      </c>
      <c r="W466" s="5">
        <v>0</v>
      </c>
      <c r="X466" s="10" t="s">
        <v>77</v>
      </c>
      <c r="Y466" s="10"/>
      <c r="Z466" s="10"/>
      <c r="AB466" s="2" t="str">
        <f>CONCATENATE(B466,C466,D466,",""",E466,""",",F466,",",G466,",",H466,",",I466,",",J466,",",K466,",",L466,",",M466,",",N466,",",O466,",",P466,",",Q466,",",R466,",",S466,",",T466,",",U466,",",V466,",",W466,"},//",Y464,Y466)</f>
        <v>/*2*/{" ","","","","",false,false,false,false,10.0,1,0,0,0.0,0.0,0.0,false,false,false,0},//</v>
      </c>
      <c r="AD466" s="12" t="str">
        <f t="shared" si="215"/>
        <v/>
      </c>
      <c r="AE466" s="12" t="str">
        <f t="shared" ref="AE466:AE483" si="222">IF(X466="Да",CONCATENATE("float ",SUBSTITUTE(Z466," ","")," = Screens[",$A$29,"][",A466,"].Param;//",$Y$32,". ",Y466),"")</f>
        <v/>
      </c>
      <c r="AH466" s="12" t="str">
        <f t="shared" ref="AH466:AH482" si="223">IF(X466="Да",CONCATENATE("Ref.",,SUBSTITUTE(Z466," ","")," = ",$AI$1,SUBSTITUTE(Z466," ",""),";//",$Y$32,". ",Y466),"")</f>
        <v/>
      </c>
      <c r="AI466" s="12" t="str">
        <f t="shared" ref="AI466:AI482" si="224">IF(X466="Да",CONCATENATE($AI$1,SUBSTITUTE(Z466," ","")," = Ref.",SUBSTITUTE(Z466," ",""),";//",$Y$32,". ",Y466),"")</f>
        <v/>
      </c>
      <c r="AJ466" s="12" t="str">
        <f t="shared" ref="AJ466:AJ483" si="225">IF(X466="Да",CONCATENATE($AI$1,SUBSTITUTE(Z466," ","")," = ",M466,";//",$Y$32,". ",Y466),"")</f>
        <v/>
      </c>
    </row>
    <row r="467" spans="1:36" x14ac:dyDescent="0.25">
      <c r="A467" s="17">
        <f t="shared" si="220"/>
        <v>3</v>
      </c>
      <c r="B467" s="8" t="s">
        <v>29</v>
      </c>
      <c r="C467" s="4" t="s">
        <v>24</v>
      </c>
      <c r="D467" s="5" t="s">
        <v>0</v>
      </c>
      <c r="E467" s="5"/>
      <c r="F467" s="5" t="s">
        <v>1</v>
      </c>
      <c r="G467" s="5" t="s">
        <v>1</v>
      </c>
      <c r="H467" s="17" t="str">
        <f t="shared" si="214"/>
        <v>""</v>
      </c>
      <c r="I467" s="5" t="s">
        <v>46</v>
      </c>
      <c r="J467" s="5" t="s">
        <v>46</v>
      </c>
      <c r="K467" s="5" t="s">
        <v>46</v>
      </c>
      <c r="L467" s="5" t="s">
        <v>46</v>
      </c>
      <c r="M467" s="5" t="s">
        <v>22</v>
      </c>
      <c r="N467" s="8">
        <f t="shared" si="221"/>
        <v>1</v>
      </c>
      <c r="O467" s="5">
        <v>2</v>
      </c>
      <c r="P467" s="5">
        <v>0</v>
      </c>
      <c r="Q467" s="5" t="s">
        <v>23</v>
      </c>
      <c r="R467" s="5" t="s">
        <v>23</v>
      </c>
      <c r="S467" s="5" t="s">
        <v>23</v>
      </c>
      <c r="T467" s="5" t="s">
        <v>46</v>
      </c>
      <c r="U467" s="5" t="s">
        <v>46</v>
      </c>
      <c r="V467" s="5" t="s">
        <v>46</v>
      </c>
      <c r="W467" s="5">
        <v>0</v>
      </c>
      <c r="X467" s="10" t="s">
        <v>77</v>
      </c>
      <c r="Y467" s="10"/>
      <c r="Z467" s="10"/>
      <c r="AB467" s="2" t="str">
        <f>CONCATENATE(B467,C467,D467,",""",E467,""",",F467,",",G467,",",H467,",",I467,",",J467,",",K467,",",L467,",",M467,",",N467,",",O467,",",P467,",",Q467,",",R467,",",S467,",",T467,",",U467,",",V467,",",W467,"},//",Y464,Y467)</f>
        <v>/*3*/{" ","","","","",false,false,false,false,10.0,1,2,0,0.0,0.0,0.0,false,false,false,0},//</v>
      </c>
      <c r="AD467" s="12" t="str">
        <f t="shared" si="215"/>
        <v/>
      </c>
      <c r="AE467" s="12" t="str">
        <f t="shared" si="222"/>
        <v/>
      </c>
      <c r="AH467" s="12" t="str">
        <f t="shared" si="223"/>
        <v/>
      </c>
      <c r="AI467" s="12" t="str">
        <f t="shared" si="224"/>
        <v/>
      </c>
      <c r="AJ467" s="12" t="str">
        <f t="shared" si="225"/>
        <v/>
      </c>
    </row>
    <row r="468" spans="1:36" x14ac:dyDescent="0.25">
      <c r="A468" s="17">
        <f t="shared" si="220"/>
        <v>4</v>
      </c>
      <c r="B468" s="8" t="s">
        <v>30</v>
      </c>
      <c r="C468" s="4" t="s">
        <v>24</v>
      </c>
      <c r="D468" s="5" t="s">
        <v>0</v>
      </c>
      <c r="E468" s="5"/>
      <c r="F468" s="5" t="s">
        <v>1</v>
      </c>
      <c r="G468" s="5" t="s">
        <v>1</v>
      </c>
      <c r="H468" s="17" t="str">
        <f t="shared" si="214"/>
        <v>""</v>
      </c>
      <c r="I468" s="5" t="s">
        <v>46</v>
      </c>
      <c r="J468" s="5" t="s">
        <v>46</v>
      </c>
      <c r="K468" s="5" t="s">
        <v>46</v>
      </c>
      <c r="L468" s="5" t="s">
        <v>46</v>
      </c>
      <c r="M468" s="5" t="s">
        <v>22</v>
      </c>
      <c r="N468" s="8">
        <f t="shared" si="221"/>
        <v>1</v>
      </c>
      <c r="O468" s="5">
        <v>0</v>
      </c>
      <c r="P468" s="5">
        <v>0</v>
      </c>
      <c r="Q468" s="5" t="s">
        <v>23</v>
      </c>
      <c r="R468" s="5" t="s">
        <v>23</v>
      </c>
      <c r="S468" s="5" t="s">
        <v>23</v>
      </c>
      <c r="T468" s="5" t="s">
        <v>46</v>
      </c>
      <c r="U468" s="5" t="s">
        <v>46</v>
      </c>
      <c r="V468" s="5" t="s">
        <v>46</v>
      </c>
      <c r="W468" s="5">
        <v>0</v>
      </c>
      <c r="X468" s="10" t="s">
        <v>77</v>
      </c>
      <c r="Y468" s="10"/>
      <c r="Z468" s="10"/>
      <c r="AB468" s="2" t="str">
        <f>CONCATENATE(B468,C468,D468,",""",E468,""",",F468,",",G468,",",H468,",",I468,",",J468,",",K468,",",L468,",",M468,",",N468,",",O468,",",P468,",",Q468,",",R468,",",S468,",",T468,",",U468,",",V468,",",W468,"},//",Y464,Y468)</f>
        <v>/*4*/{" ","","","","",false,false,false,false,10.0,1,0,0,0.0,0.0,0.0,false,false,false,0},//</v>
      </c>
      <c r="AD468" s="12" t="str">
        <f>IF(X468="Да",CONCATENATE("float &amp;",SUBSTITUTE(Z468," ","")," = Screens[",$A$29,"][",A468,"].Param;// Ссылка. ",$Y$32,". ",Y468),"")</f>
        <v/>
      </c>
      <c r="AE468" s="12" t="str">
        <f t="shared" si="222"/>
        <v/>
      </c>
      <c r="AH468" s="12" t="str">
        <f t="shared" si="223"/>
        <v/>
      </c>
      <c r="AI468" s="12" t="str">
        <f t="shared" si="224"/>
        <v/>
      </c>
      <c r="AJ468" s="12" t="str">
        <f t="shared" si="225"/>
        <v/>
      </c>
    </row>
    <row r="469" spans="1:36" x14ac:dyDescent="0.25">
      <c r="A469" s="17">
        <f t="shared" si="220"/>
        <v>5</v>
      </c>
      <c r="B469" s="8" t="s">
        <v>31</v>
      </c>
      <c r="C469" s="4" t="s">
        <v>24</v>
      </c>
      <c r="D469" s="5" t="s">
        <v>0</v>
      </c>
      <c r="E469" s="5"/>
      <c r="F469" s="5" t="s">
        <v>1</v>
      </c>
      <c r="G469" s="5" t="s">
        <v>1</v>
      </c>
      <c r="H469" s="17" t="str">
        <f t="shared" si="214"/>
        <v>""</v>
      </c>
      <c r="I469" s="5" t="s">
        <v>46</v>
      </c>
      <c r="J469" s="5" t="s">
        <v>46</v>
      </c>
      <c r="K469" s="5" t="s">
        <v>46</v>
      </c>
      <c r="L469" s="5" t="s">
        <v>46</v>
      </c>
      <c r="M469" s="5" t="s">
        <v>22</v>
      </c>
      <c r="N469" s="8">
        <f t="shared" si="221"/>
        <v>1</v>
      </c>
      <c r="O469" s="5">
        <v>0</v>
      </c>
      <c r="P469" s="5">
        <v>0</v>
      </c>
      <c r="Q469" s="5" t="s">
        <v>23</v>
      </c>
      <c r="R469" s="5" t="s">
        <v>23</v>
      </c>
      <c r="S469" s="5" t="s">
        <v>23</v>
      </c>
      <c r="T469" s="5" t="s">
        <v>46</v>
      </c>
      <c r="U469" s="5" t="s">
        <v>46</v>
      </c>
      <c r="V469" s="5" t="s">
        <v>46</v>
      </c>
      <c r="W469" s="5">
        <v>0</v>
      </c>
      <c r="X469" s="10" t="s">
        <v>77</v>
      </c>
      <c r="Y469" s="10"/>
      <c r="Z469" s="10"/>
      <c r="AB469" s="2" t="str">
        <f>CONCATENATE(B469,C469,D469,",""",E469,""",",F469,",",G469,",",H469,",",I469,",",J469,",",K469,",",L469,",",M469,",",N469,",",O469,",",P469,",",Q469,",",R469,",",S469,",",T469,",",U469,",",V469,",",W469,"},//",Y464,Y469)</f>
        <v>/*5*/{" ","","","","",false,false,false,false,10.0,1,0,0,0.0,0.0,0.0,false,false,false,0},//</v>
      </c>
      <c r="AD469" s="12" t="str">
        <f t="shared" ref="AD469:AD483" si="226">IF(X469="Да",CONCATENATE("float &amp;",SUBSTITUTE(Z469," ","")," = Screens[",$A$29,"][",A469,"].Param;// Ссылка. ",$Y$32,". ",Y469),"")</f>
        <v/>
      </c>
      <c r="AE469" s="12" t="str">
        <f t="shared" si="222"/>
        <v/>
      </c>
      <c r="AH469" s="12" t="str">
        <f t="shared" si="223"/>
        <v/>
      </c>
      <c r="AI469" s="12" t="str">
        <f t="shared" si="224"/>
        <v/>
      </c>
      <c r="AJ469" s="12" t="str">
        <f t="shared" si="225"/>
        <v/>
      </c>
    </row>
    <row r="470" spans="1:36" x14ac:dyDescent="0.25">
      <c r="A470" s="17">
        <f t="shared" si="220"/>
        <v>6</v>
      </c>
      <c r="B470" s="8" t="s">
        <v>32</v>
      </c>
      <c r="C470" s="4" t="s">
        <v>24</v>
      </c>
      <c r="D470" s="5" t="s">
        <v>0</v>
      </c>
      <c r="E470" s="5"/>
      <c r="F470" s="5" t="s">
        <v>1</v>
      </c>
      <c r="G470" s="5" t="s">
        <v>1</v>
      </c>
      <c r="H470" s="17" t="str">
        <f t="shared" si="214"/>
        <v>""</v>
      </c>
      <c r="I470" s="5" t="s">
        <v>46</v>
      </c>
      <c r="J470" s="5" t="s">
        <v>46</v>
      </c>
      <c r="K470" s="5" t="s">
        <v>46</v>
      </c>
      <c r="L470" s="5" t="s">
        <v>46</v>
      </c>
      <c r="M470" s="5" t="s">
        <v>22</v>
      </c>
      <c r="N470" s="8">
        <f t="shared" si="221"/>
        <v>1</v>
      </c>
      <c r="O470" s="5">
        <v>0</v>
      </c>
      <c r="P470" s="5">
        <v>0</v>
      </c>
      <c r="Q470" s="5" t="s">
        <v>23</v>
      </c>
      <c r="R470" s="5" t="s">
        <v>23</v>
      </c>
      <c r="S470" s="5" t="s">
        <v>23</v>
      </c>
      <c r="T470" s="5" t="s">
        <v>46</v>
      </c>
      <c r="U470" s="5" t="s">
        <v>46</v>
      </c>
      <c r="V470" s="5" t="s">
        <v>46</v>
      </c>
      <c r="W470" s="5">
        <v>0</v>
      </c>
      <c r="X470" s="10" t="s">
        <v>77</v>
      </c>
      <c r="Y470" s="10"/>
      <c r="Z470" s="10"/>
      <c r="AB470" s="2" t="str">
        <f>CONCATENATE(B470,C470,D470,",""",E470,""",",F470,",",G470,",",H470,",",I470,",",J470,",",K470,",",L470,",",M470,",",N470,",",O470,",",P470,",",Q470,",",R470,",",S470,",",T470,",",U470,",",V470,",",W470,"},//",Y464,Y470)</f>
        <v>/*6*/{" ","","","","",false,false,false,false,10.0,1,0,0,0.0,0.0,0.0,false,false,false,0},//</v>
      </c>
      <c r="AD470" s="12" t="str">
        <f t="shared" si="226"/>
        <v/>
      </c>
      <c r="AE470" s="12" t="str">
        <f t="shared" si="222"/>
        <v/>
      </c>
      <c r="AH470" s="12" t="str">
        <f t="shared" si="223"/>
        <v/>
      </c>
      <c r="AI470" s="12" t="str">
        <f t="shared" si="224"/>
        <v/>
      </c>
      <c r="AJ470" s="12" t="str">
        <f t="shared" si="225"/>
        <v/>
      </c>
    </row>
    <row r="471" spans="1:36" x14ac:dyDescent="0.25">
      <c r="A471" s="17">
        <f t="shared" si="220"/>
        <v>7</v>
      </c>
      <c r="B471" s="8" t="s">
        <v>33</v>
      </c>
      <c r="C471" s="4" t="s">
        <v>24</v>
      </c>
      <c r="D471" s="5" t="s">
        <v>0</v>
      </c>
      <c r="E471" s="5"/>
      <c r="F471" s="5" t="s">
        <v>1</v>
      </c>
      <c r="G471" s="5" t="s">
        <v>1</v>
      </c>
      <c r="H471" s="17" t="str">
        <f t="shared" si="214"/>
        <v>""</v>
      </c>
      <c r="I471" s="5" t="s">
        <v>46</v>
      </c>
      <c r="J471" s="5" t="s">
        <v>46</v>
      </c>
      <c r="K471" s="5" t="s">
        <v>46</v>
      </c>
      <c r="L471" s="5" t="s">
        <v>46</v>
      </c>
      <c r="M471" s="5" t="s">
        <v>22</v>
      </c>
      <c r="N471" s="8">
        <f t="shared" si="221"/>
        <v>1</v>
      </c>
      <c r="O471" s="5">
        <v>0</v>
      </c>
      <c r="P471" s="5">
        <v>0</v>
      </c>
      <c r="Q471" s="5" t="s">
        <v>23</v>
      </c>
      <c r="R471" s="5" t="s">
        <v>23</v>
      </c>
      <c r="S471" s="5" t="s">
        <v>23</v>
      </c>
      <c r="T471" s="5" t="s">
        <v>46</v>
      </c>
      <c r="U471" s="5" t="s">
        <v>46</v>
      </c>
      <c r="V471" s="5" t="s">
        <v>46</v>
      </c>
      <c r="W471" s="5">
        <v>0</v>
      </c>
      <c r="X471" s="10" t="s">
        <v>77</v>
      </c>
      <c r="Y471" s="10"/>
      <c r="Z471" s="10"/>
      <c r="AB471" s="2" t="str">
        <f>CONCATENATE(B471,C471,D471,",""",E471,""",",F471,",",G471,",",H471,",",I471,",",J471,",",K471,",",L471,",",M471,",",N471,",",O471,",",P471,",",Q471,",",R471,",",S471,",",T471,",",U471,",",V471,",",W471,"},//",Y464,Y471)</f>
        <v>/*7*/{" ","","","","",false,false,false,false,10.0,1,0,0,0.0,0.0,0.0,false,false,false,0},//</v>
      </c>
      <c r="AD471" s="12" t="str">
        <f t="shared" si="226"/>
        <v/>
      </c>
      <c r="AE471" s="12" t="str">
        <f t="shared" si="222"/>
        <v/>
      </c>
      <c r="AH471" s="12" t="str">
        <f t="shared" si="223"/>
        <v/>
      </c>
      <c r="AI471" s="12" t="str">
        <f t="shared" si="224"/>
        <v/>
      </c>
      <c r="AJ471" s="12" t="str">
        <f t="shared" si="225"/>
        <v/>
      </c>
    </row>
    <row r="472" spans="1:36" x14ac:dyDescent="0.25">
      <c r="A472" s="17">
        <f t="shared" si="220"/>
        <v>8</v>
      </c>
      <c r="B472" s="8" t="s">
        <v>34</v>
      </c>
      <c r="C472" s="4" t="s">
        <v>24</v>
      </c>
      <c r="D472" s="5" t="s">
        <v>0</v>
      </c>
      <c r="E472" s="5"/>
      <c r="F472" s="5" t="s">
        <v>1</v>
      </c>
      <c r="G472" s="5" t="s">
        <v>1</v>
      </c>
      <c r="H472" s="17" t="str">
        <f t="shared" si="214"/>
        <v>""</v>
      </c>
      <c r="I472" s="5" t="s">
        <v>46</v>
      </c>
      <c r="J472" s="5" t="s">
        <v>46</v>
      </c>
      <c r="K472" s="5" t="s">
        <v>46</v>
      </c>
      <c r="L472" s="5" t="s">
        <v>46</v>
      </c>
      <c r="M472" s="5" t="s">
        <v>22</v>
      </c>
      <c r="N472" s="8">
        <f t="shared" si="221"/>
        <v>1</v>
      </c>
      <c r="O472" s="5">
        <v>0</v>
      </c>
      <c r="P472" s="5">
        <v>0</v>
      </c>
      <c r="Q472" s="5" t="s">
        <v>23</v>
      </c>
      <c r="R472" s="5" t="s">
        <v>23</v>
      </c>
      <c r="S472" s="5" t="s">
        <v>23</v>
      </c>
      <c r="T472" s="5" t="s">
        <v>46</v>
      </c>
      <c r="U472" s="5" t="s">
        <v>46</v>
      </c>
      <c r="V472" s="5" t="s">
        <v>46</v>
      </c>
      <c r="W472" s="5">
        <v>0</v>
      </c>
      <c r="X472" s="10" t="s">
        <v>77</v>
      </c>
      <c r="Y472" s="10"/>
      <c r="Z472" s="10"/>
      <c r="AB472" s="2" t="str">
        <f>CONCATENATE(B472,C472,D472,",""",E472,""",",F472,",",G472,",",H472,",",I472,",",J472,",",K472,",",L472,",",M472,",",N472,",",O472,",",P472,",",Q472,",",R472,",",S472,",",T472,",",U472,",",V472,",",W472,"},//",Y464,Y472)</f>
        <v>/*8*/{" ","","","","",false,false,false,false,10.0,1,0,0,0.0,0.0,0.0,false,false,false,0},//</v>
      </c>
      <c r="AD472" s="12" t="str">
        <f t="shared" si="226"/>
        <v/>
      </c>
      <c r="AE472" s="12" t="str">
        <f t="shared" si="222"/>
        <v/>
      </c>
      <c r="AH472" s="12" t="str">
        <f t="shared" si="223"/>
        <v/>
      </c>
      <c r="AI472" s="12" t="str">
        <f t="shared" si="224"/>
        <v/>
      </c>
      <c r="AJ472" s="12" t="str">
        <f t="shared" si="225"/>
        <v/>
      </c>
    </row>
    <row r="473" spans="1:36" x14ac:dyDescent="0.25">
      <c r="A473" s="17">
        <f t="shared" si="220"/>
        <v>9</v>
      </c>
      <c r="B473" s="8" t="s">
        <v>35</v>
      </c>
      <c r="C473" s="4" t="s">
        <v>24</v>
      </c>
      <c r="D473" s="5" t="s">
        <v>0</v>
      </c>
      <c r="E473" s="5"/>
      <c r="F473" s="5" t="s">
        <v>1</v>
      </c>
      <c r="G473" s="5" t="s">
        <v>1</v>
      </c>
      <c r="H473" s="17" t="str">
        <f t="shared" si="214"/>
        <v>""</v>
      </c>
      <c r="I473" s="5" t="s">
        <v>46</v>
      </c>
      <c r="J473" s="5" t="s">
        <v>46</v>
      </c>
      <c r="K473" s="5" t="s">
        <v>46</v>
      </c>
      <c r="L473" s="5" t="s">
        <v>46</v>
      </c>
      <c r="M473" s="5" t="s">
        <v>22</v>
      </c>
      <c r="N473" s="8">
        <f t="shared" si="221"/>
        <v>1</v>
      </c>
      <c r="O473" s="5">
        <v>0</v>
      </c>
      <c r="P473" s="5">
        <v>0</v>
      </c>
      <c r="Q473" s="5" t="s">
        <v>23</v>
      </c>
      <c r="R473" s="5" t="s">
        <v>23</v>
      </c>
      <c r="S473" s="5" t="s">
        <v>23</v>
      </c>
      <c r="T473" s="5" t="s">
        <v>46</v>
      </c>
      <c r="U473" s="5" t="s">
        <v>46</v>
      </c>
      <c r="V473" s="5" t="s">
        <v>46</v>
      </c>
      <c r="W473" s="5">
        <v>0</v>
      </c>
      <c r="X473" s="10" t="s">
        <v>77</v>
      </c>
      <c r="Y473" s="10"/>
      <c r="Z473" s="10"/>
      <c r="AB473" s="2" t="str">
        <f>CONCATENATE(B473,C473,D473,",""",E473,""",",F473,",",G473,",",H473,",",I473,",",J473,",",K473,",",L473,",",M473,",",N473,",",O473,",",P473,",",Q473,",",R473,",",S473,",",T473,",",U473,",",V473,",",W473,"},//",Y464,Y473)</f>
        <v>/*9*/{" ","","","","",false,false,false,false,10.0,1,0,0,0.0,0.0,0.0,false,false,false,0},//</v>
      </c>
      <c r="AD473" s="12" t="str">
        <f t="shared" si="226"/>
        <v/>
      </c>
      <c r="AE473" s="12" t="str">
        <f t="shared" si="222"/>
        <v/>
      </c>
      <c r="AH473" s="12" t="str">
        <f t="shared" si="223"/>
        <v/>
      </c>
      <c r="AI473" s="12" t="str">
        <f t="shared" si="224"/>
        <v/>
      </c>
      <c r="AJ473" s="12" t="str">
        <f t="shared" si="225"/>
        <v/>
      </c>
    </row>
    <row r="474" spans="1:36" x14ac:dyDescent="0.25">
      <c r="A474" s="17">
        <f t="shared" si="220"/>
        <v>10</v>
      </c>
      <c r="B474" s="8" t="s">
        <v>36</v>
      </c>
      <c r="C474" s="4" t="s">
        <v>24</v>
      </c>
      <c r="D474" s="5" t="s">
        <v>0</v>
      </c>
      <c r="E474" s="5"/>
      <c r="F474" s="5" t="s">
        <v>1</v>
      </c>
      <c r="G474" s="5" t="s">
        <v>1</v>
      </c>
      <c r="H474" s="17" t="str">
        <f t="shared" si="214"/>
        <v>""</v>
      </c>
      <c r="I474" s="5" t="s">
        <v>46</v>
      </c>
      <c r="J474" s="5" t="s">
        <v>46</v>
      </c>
      <c r="K474" s="5" t="s">
        <v>46</v>
      </c>
      <c r="L474" s="5" t="s">
        <v>46</v>
      </c>
      <c r="M474" s="5" t="s">
        <v>22</v>
      </c>
      <c r="N474" s="8">
        <f t="shared" si="221"/>
        <v>1</v>
      </c>
      <c r="O474" s="5">
        <v>0</v>
      </c>
      <c r="P474" s="5">
        <v>0</v>
      </c>
      <c r="Q474" s="5" t="s">
        <v>23</v>
      </c>
      <c r="R474" s="5" t="s">
        <v>23</v>
      </c>
      <c r="S474" s="5" t="s">
        <v>23</v>
      </c>
      <c r="T474" s="5" t="s">
        <v>46</v>
      </c>
      <c r="U474" s="5" t="s">
        <v>46</v>
      </c>
      <c r="V474" s="5" t="s">
        <v>46</v>
      </c>
      <c r="W474" s="5">
        <v>0</v>
      </c>
      <c r="X474" s="10" t="s">
        <v>77</v>
      </c>
      <c r="Y474" s="10"/>
      <c r="Z474" s="10"/>
      <c r="AB474" s="2" t="str">
        <f>CONCATENATE(B474,C474,D474,",""",E474,""",",F474,",",G474,",",H474,",",I474,",",J474,",",K474,",",L474,",",M474,",",N474,",",O474,",",P474,",",Q474,",",R474,",",S474,",",T474,",",U474,",",V474,",",W474,"},//",Y464,Y474)</f>
        <v>/*10*/{" ","","","","",false,false,false,false,10.0,1,0,0,0.0,0.0,0.0,false,false,false,0},//</v>
      </c>
      <c r="AD474" s="12" t="str">
        <f t="shared" si="226"/>
        <v/>
      </c>
      <c r="AE474" s="12" t="str">
        <f t="shared" si="222"/>
        <v/>
      </c>
      <c r="AH474" s="12" t="str">
        <f t="shared" si="223"/>
        <v/>
      </c>
      <c r="AI474" s="12" t="str">
        <f t="shared" si="224"/>
        <v/>
      </c>
      <c r="AJ474" s="12" t="str">
        <f t="shared" si="225"/>
        <v/>
      </c>
    </row>
    <row r="475" spans="1:36" x14ac:dyDescent="0.25">
      <c r="A475" s="17">
        <f t="shared" si="220"/>
        <v>11</v>
      </c>
      <c r="B475" s="8" t="s">
        <v>37</v>
      </c>
      <c r="C475" s="4" t="s">
        <v>24</v>
      </c>
      <c r="D475" s="5" t="s">
        <v>0</v>
      </c>
      <c r="E475" s="5"/>
      <c r="F475" s="5" t="s">
        <v>1</v>
      </c>
      <c r="G475" s="5" t="s">
        <v>1</v>
      </c>
      <c r="H475" s="17" t="str">
        <f t="shared" si="214"/>
        <v>""</v>
      </c>
      <c r="I475" s="5" t="s">
        <v>46</v>
      </c>
      <c r="J475" s="5" t="s">
        <v>46</v>
      </c>
      <c r="K475" s="5" t="s">
        <v>46</v>
      </c>
      <c r="L475" s="5" t="s">
        <v>46</v>
      </c>
      <c r="M475" s="5" t="s">
        <v>22</v>
      </c>
      <c r="N475" s="8">
        <f t="shared" si="221"/>
        <v>1</v>
      </c>
      <c r="O475" s="5">
        <v>0</v>
      </c>
      <c r="P475" s="5">
        <v>0</v>
      </c>
      <c r="Q475" s="5" t="s">
        <v>23</v>
      </c>
      <c r="R475" s="5" t="s">
        <v>23</v>
      </c>
      <c r="S475" s="5" t="s">
        <v>23</v>
      </c>
      <c r="T475" s="5" t="s">
        <v>46</v>
      </c>
      <c r="U475" s="5" t="s">
        <v>46</v>
      </c>
      <c r="V475" s="5" t="s">
        <v>46</v>
      </c>
      <c r="W475" s="5">
        <v>0</v>
      </c>
      <c r="X475" s="10" t="s">
        <v>77</v>
      </c>
      <c r="Y475" s="10"/>
      <c r="Z475" s="10"/>
      <c r="AB475" s="2" t="str">
        <f>CONCATENATE(B475,C475,D475,",""",E475,""",",F475,",",G475,",",H475,",",I475,",",J475,",",K475,",",L475,",",M475,",",N475,",",O475,",",P475,",",Q475,",",R475,",",S475,",",T475,",",U475,",",V475,",",W475,"},//",Y464,Y475)</f>
        <v>/*11*/{" ","","","","",false,false,false,false,10.0,1,0,0,0.0,0.0,0.0,false,false,false,0},//</v>
      </c>
      <c r="AD475" s="12" t="str">
        <f t="shared" si="226"/>
        <v/>
      </c>
      <c r="AE475" s="12" t="str">
        <f t="shared" si="222"/>
        <v/>
      </c>
      <c r="AH475" s="12" t="str">
        <f t="shared" si="223"/>
        <v/>
      </c>
      <c r="AI475" s="12" t="str">
        <f t="shared" si="224"/>
        <v/>
      </c>
      <c r="AJ475" s="12" t="str">
        <f t="shared" si="225"/>
        <v/>
      </c>
    </row>
    <row r="476" spans="1:36" x14ac:dyDescent="0.25">
      <c r="A476" s="17">
        <f t="shared" si="220"/>
        <v>12</v>
      </c>
      <c r="B476" s="8" t="s">
        <v>38</v>
      </c>
      <c r="C476" s="4" t="s">
        <v>24</v>
      </c>
      <c r="D476" s="5" t="s">
        <v>0</v>
      </c>
      <c r="E476" s="5"/>
      <c r="F476" s="5" t="s">
        <v>1</v>
      </c>
      <c r="G476" s="5" t="s">
        <v>1</v>
      </c>
      <c r="H476" s="17" t="str">
        <f t="shared" si="214"/>
        <v>""</v>
      </c>
      <c r="I476" s="5" t="s">
        <v>46</v>
      </c>
      <c r="J476" s="5" t="s">
        <v>46</v>
      </c>
      <c r="K476" s="5" t="s">
        <v>46</v>
      </c>
      <c r="L476" s="5" t="s">
        <v>46</v>
      </c>
      <c r="M476" s="5" t="s">
        <v>22</v>
      </c>
      <c r="N476" s="8">
        <f t="shared" si="221"/>
        <v>1</v>
      </c>
      <c r="O476" s="5">
        <v>0</v>
      </c>
      <c r="P476" s="5">
        <v>0</v>
      </c>
      <c r="Q476" s="5" t="s">
        <v>23</v>
      </c>
      <c r="R476" s="5" t="s">
        <v>23</v>
      </c>
      <c r="S476" s="5" t="s">
        <v>23</v>
      </c>
      <c r="T476" s="5" t="s">
        <v>46</v>
      </c>
      <c r="U476" s="5" t="s">
        <v>46</v>
      </c>
      <c r="V476" s="5" t="s">
        <v>46</v>
      </c>
      <c r="W476" s="5">
        <v>0</v>
      </c>
      <c r="X476" s="10" t="s">
        <v>77</v>
      </c>
      <c r="Y476" s="10"/>
      <c r="Z476" s="10"/>
      <c r="AB476" s="2" t="str">
        <f>CONCATENATE(B476,C476,D476,",""",E476,""",",F476,",",G476,",",H476,",",I476,",",J476,",",K476,",",L476,",",M476,",",N476,",",O476,",",P476,",",Q476,",",R476,",",S476,",",T476,",",U476,",",V476,",",W476,"},//",Y464,Y476)</f>
        <v>/*12*/{" ","","","","",false,false,false,false,10.0,1,0,0,0.0,0.0,0.0,false,false,false,0},//</v>
      </c>
      <c r="AD476" s="12" t="str">
        <f t="shared" si="226"/>
        <v/>
      </c>
      <c r="AE476" s="12" t="str">
        <f t="shared" si="222"/>
        <v/>
      </c>
      <c r="AH476" s="12" t="str">
        <f t="shared" si="223"/>
        <v/>
      </c>
      <c r="AI476" s="12" t="str">
        <f t="shared" si="224"/>
        <v/>
      </c>
      <c r="AJ476" s="12" t="str">
        <f t="shared" si="225"/>
        <v/>
      </c>
    </row>
    <row r="477" spans="1:36" x14ac:dyDescent="0.25">
      <c r="A477" s="17">
        <f t="shared" si="220"/>
        <v>13</v>
      </c>
      <c r="B477" s="8" t="s">
        <v>39</v>
      </c>
      <c r="C477" s="4" t="s">
        <v>24</v>
      </c>
      <c r="D477" s="5" t="s">
        <v>0</v>
      </c>
      <c r="E477" s="5"/>
      <c r="F477" s="5" t="s">
        <v>1</v>
      </c>
      <c r="G477" s="5" t="s">
        <v>1</v>
      </c>
      <c r="H477" s="17" t="str">
        <f t="shared" si="214"/>
        <v>""</v>
      </c>
      <c r="I477" s="5" t="s">
        <v>46</v>
      </c>
      <c r="J477" s="5" t="s">
        <v>46</v>
      </c>
      <c r="K477" s="5" t="s">
        <v>46</v>
      </c>
      <c r="L477" s="5" t="s">
        <v>46</v>
      </c>
      <c r="M477" s="5" t="s">
        <v>22</v>
      </c>
      <c r="N477" s="8">
        <f t="shared" si="221"/>
        <v>1</v>
      </c>
      <c r="O477" s="5">
        <v>0</v>
      </c>
      <c r="P477" s="5">
        <v>0</v>
      </c>
      <c r="Q477" s="5" t="s">
        <v>23</v>
      </c>
      <c r="R477" s="5" t="s">
        <v>23</v>
      </c>
      <c r="S477" s="5" t="s">
        <v>23</v>
      </c>
      <c r="T477" s="5" t="s">
        <v>46</v>
      </c>
      <c r="U477" s="5" t="s">
        <v>46</v>
      </c>
      <c r="V477" s="5" t="s">
        <v>46</v>
      </c>
      <c r="W477" s="5">
        <v>0</v>
      </c>
      <c r="X477" s="10" t="s">
        <v>77</v>
      </c>
      <c r="Y477" s="10"/>
      <c r="Z477" s="10"/>
      <c r="AB477" s="2" t="str">
        <f>CONCATENATE(B477,C477,D477,",""",E477,""",",F477,",",G477,",",H477,",",I477,",",J477,",",K477,",",L477,",",M477,",",N477,",",O477,",",P477,",",Q477,",",R477,",",S477,",",T477,",",U477,",",V477,",",W477,"},//",Y464,Y477)</f>
        <v>/*13*/{" ","","","","",false,false,false,false,10.0,1,0,0,0.0,0.0,0.0,false,false,false,0},//</v>
      </c>
      <c r="AD477" s="12" t="str">
        <f t="shared" si="226"/>
        <v/>
      </c>
      <c r="AE477" s="12" t="str">
        <f t="shared" si="222"/>
        <v/>
      </c>
      <c r="AH477" s="12" t="str">
        <f t="shared" si="223"/>
        <v/>
      </c>
      <c r="AI477" s="12" t="str">
        <f t="shared" si="224"/>
        <v/>
      </c>
      <c r="AJ477" s="12" t="str">
        <f t="shared" si="225"/>
        <v/>
      </c>
    </row>
    <row r="478" spans="1:36" x14ac:dyDescent="0.25">
      <c r="A478" s="17">
        <f t="shared" si="220"/>
        <v>14</v>
      </c>
      <c r="B478" s="8" t="s">
        <v>40</v>
      </c>
      <c r="C478" s="4" t="s">
        <v>24</v>
      </c>
      <c r="D478" s="5" t="s">
        <v>0</v>
      </c>
      <c r="E478" s="5"/>
      <c r="F478" s="5" t="s">
        <v>1</v>
      </c>
      <c r="G478" s="5" t="s">
        <v>1</v>
      </c>
      <c r="H478" s="17" t="str">
        <f t="shared" si="214"/>
        <v>""</v>
      </c>
      <c r="I478" s="5" t="s">
        <v>46</v>
      </c>
      <c r="J478" s="5" t="s">
        <v>46</v>
      </c>
      <c r="K478" s="5" t="s">
        <v>46</v>
      </c>
      <c r="L478" s="5" t="s">
        <v>46</v>
      </c>
      <c r="M478" s="5" t="s">
        <v>22</v>
      </c>
      <c r="N478" s="8">
        <f t="shared" si="221"/>
        <v>1</v>
      </c>
      <c r="O478" s="5">
        <v>0</v>
      </c>
      <c r="P478" s="5">
        <v>0</v>
      </c>
      <c r="Q478" s="5" t="s">
        <v>23</v>
      </c>
      <c r="R478" s="5" t="s">
        <v>23</v>
      </c>
      <c r="S478" s="5" t="s">
        <v>23</v>
      </c>
      <c r="T478" s="5" t="s">
        <v>46</v>
      </c>
      <c r="U478" s="5" t="s">
        <v>46</v>
      </c>
      <c r="V478" s="5" t="s">
        <v>46</v>
      </c>
      <c r="W478" s="5">
        <v>0</v>
      </c>
      <c r="X478" s="10" t="s">
        <v>77</v>
      </c>
      <c r="Y478" s="10"/>
      <c r="Z478" s="10"/>
      <c r="AB478" s="2" t="str">
        <f>CONCATENATE(B478,C478,D478,",""",E478,""",",F478,",",G478,",",H478,",",I478,",",J478,",",K478,",",L478,",",M478,",",N478,",",O478,",",P478,",",Q478,",",R478,",",S478,",",T478,",",U478,",",V478,",",W478,"},//",Y464,Y478)</f>
        <v>/*14*/{" ","","","","",false,false,false,false,10.0,1,0,0,0.0,0.0,0.0,false,false,false,0},//</v>
      </c>
      <c r="AD478" s="12" t="str">
        <f t="shared" si="226"/>
        <v/>
      </c>
      <c r="AE478" s="12" t="str">
        <f t="shared" si="222"/>
        <v/>
      </c>
      <c r="AH478" s="12" t="str">
        <f t="shared" si="223"/>
        <v/>
      </c>
      <c r="AI478" s="12" t="str">
        <f t="shared" si="224"/>
        <v/>
      </c>
      <c r="AJ478" s="12" t="str">
        <f t="shared" si="225"/>
        <v/>
      </c>
    </row>
    <row r="479" spans="1:36" x14ac:dyDescent="0.25">
      <c r="A479" s="17">
        <f t="shared" si="220"/>
        <v>15</v>
      </c>
      <c r="B479" s="8" t="s">
        <v>41</v>
      </c>
      <c r="C479" s="4" t="s">
        <v>24</v>
      </c>
      <c r="D479" s="5" t="s">
        <v>0</v>
      </c>
      <c r="E479" s="5"/>
      <c r="F479" s="5" t="s">
        <v>1</v>
      </c>
      <c r="G479" s="5" t="s">
        <v>1</v>
      </c>
      <c r="H479" s="17" t="str">
        <f t="shared" si="214"/>
        <v>""</v>
      </c>
      <c r="I479" s="5" t="s">
        <v>46</v>
      </c>
      <c r="J479" s="5" t="s">
        <v>46</v>
      </c>
      <c r="K479" s="5" t="s">
        <v>46</v>
      </c>
      <c r="L479" s="5" t="s">
        <v>46</v>
      </c>
      <c r="M479" s="5" t="s">
        <v>22</v>
      </c>
      <c r="N479" s="8">
        <f t="shared" si="221"/>
        <v>1</v>
      </c>
      <c r="O479" s="5">
        <v>0</v>
      </c>
      <c r="P479" s="5">
        <v>0</v>
      </c>
      <c r="Q479" s="5" t="s">
        <v>23</v>
      </c>
      <c r="R479" s="5" t="s">
        <v>23</v>
      </c>
      <c r="S479" s="5" t="s">
        <v>23</v>
      </c>
      <c r="T479" s="5" t="s">
        <v>46</v>
      </c>
      <c r="U479" s="5" t="s">
        <v>46</v>
      </c>
      <c r="V479" s="5" t="s">
        <v>46</v>
      </c>
      <c r="W479" s="5">
        <v>0</v>
      </c>
      <c r="X479" s="10" t="s">
        <v>77</v>
      </c>
      <c r="Y479" s="10"/>
      <c r="Z479" s="10"/>
      <c r="AB479" s="2" t="str">
        <f>CONCATENATE(B479,C479,D479,",""",E479,""",",F479,",",G479,",",H479,",",I479,",",J479,",",K479,",",L479,",",M479,",",N479,",",O479,",",P479,",",Q479,",",R479,",",S479,",",T479,",",U479,",",V479,",",W479,"},//",Y464,Y479)</f>
        <v>/*15*/{" ","","","","",false,false,false,false,10.0,1,0,0,0.0,0.0,0.0,false,false,false,0},//</v>
      </c>
      <c r="AD479" s="12" t="str">
        <f t="shared" si="226"/>
        <v/>
      </c>
      <c r="AE479" s="12" t="str">
        <f t="shared" si="222"/>
        <v/>
      </c>
      <c r="AH479" s="12" t="str">
        <f t="shared" si="223"/>
        <v/>
      </c>
      <c r="AI479" s="12" t="str">
        <f t="shared" si="224"/>
        <v/>
      </c>
      <c r="AJ479" s="12" t="str">
        <f t="shared" si="225"/>
        <v/>
      </c>
    </row>
    <row r="480" spans="1:36" x14ac:dyDescent="0.25">
      <c r="A480" s="17">
        <f t="shared" si="220"/>
        <v>16</v>
      </c>
      <c r="B480" s="8" t="s">
        <v>42</v>
      </c>
      <c r="C480" s="4" t="s">
        <v>24</v>
      </c>
      <c r="D480" s="5" t="s">
        <v>0</v>
      </c>
      <c r="E480" s="5"/>
      <c r="F480" s="5" t="s">
        <v>1</v>
      </c>
      <c r="G480" s="5" t="s">
        <v>1</v>
      </c>
      <c r="H480" s="17" t="str">
        <f t="shared" si="214"/>
        <v>""</v>
      </c>
      <c r="I480" s="5" t="s">
        <v>46</v>
      </c>
      <c r="J480" s="5" t="s">
        <v>46</v>
      </c>
      <c r="K480" s="5" t="s">
        <v>46</v>
      </c>
      <c r="L480" s="5" t="s">
        <v>46</v>
      </c>
      <c r="M480" s="5" t="s">
        <v>22</v>
      </c>
      <c r="N480" s="8">
        <f t="shared" si="221"/>
        <v>1</v>
      </c>
      <c r="O480" s="5">
        <v>0</v>
      </c>
      <c r="P480" s="5">
        <v>0</v>
      </c>
      <c r="Q480" s="5" t="s">
        <v>23</v>
      </c>
      <c r="R480" s="5" t="s">
        <v>23</v>
      </c>
      <c r="S480" s="5" t="s">
        <v>23</v>
      </c>
      <c r="T480" s="5" t="s">
        <v>46</v>
      </c>
      <c r="U480" s="5" t="s">
        <v>46</v>
      </c>
      <c r="V480" s="5" t="s">
        <v>46</v>
      </c>
      <c r="W480" s="5">
        <v>0</v>
      </c>
      <c r="X480" s="10" t="s">
        <v>77</v>
      </c>
      <c r="Y480" s="10"/>
      <c r="Z480" s="10"/>
      <c r="AB480" s="2" t="str">
        <f>CONCATENATE(B480,C480,D480,",""",E480,""",",F480,",",G480,",",H480,",",I480,",",J480,",",K480,",",L480,",",M480,",",N480,",",O480,",",P480,",",Q480,",",R480,",",S480,",",T480,",",U480,",",V480,",",W480,"},//",Y464,Y480)</f>
        <v>/*16*/{" ","","","","",false,false,false,false,10.0,1,0,0,0.0,0.0,0.0,false,false,false,0},//</v>
      </c>
      <c r="AD480" s="12" t="str">
        <f t="shared" si="226"/>
        <v/>
      </c>
      <c r="AE480" s="12" t="str">
        <f t="shared" si="222"/>
        <v/>
      </c>
      <c r="AH480" s="12" t="str">
        <f t="shared" si="223"/>
        <v/>
      </c>
      <c r="AI480" s="12" t="str">
        <f t="shared" si="224"/>
        <v/>
      </c>
      <c r="AJ480" s="12" t="str">
        <f t="shared" si="225"/>
        <v/>
      </c>
    </row>
    <row r="481" spans="1:36" x14ac:dyDescent="0.25">
      <c r="A481" s="17">
        <f t="shared" si="220"/>
        <v>17</v>
      </c>
      <c r="B481" s="8" t="s">
        <v>43</v>
      </c>
      <c r="C481" s="4" t="s">
        <v>24</v>
      </c>
      <c r="D481" s="5" t="s">
        <v>0</v>
      </c>
      <c r="E481" s="5"/>
      <c r="F481" s="5" t="s">
        <v>1</v>
      </c>
      <c r="G481" s="5" t="s">
        <v>1</v>
      </c>
      <c r="H481" s="17" t="str">
        <f t="shared" si="214"/>
        <v>""</v>
      </c>
      <c r="I481" s="5" t="s">
        <v>46</v>
      </c>
      <c r="J481" s="5" t="s">
        <v>46</v>
      </c>
      <c r="K481" s="5" t="s">
        <v>46</v>
      </c>
      <c r="L481" s="5" t="s">
        <v>46</v>
      </c>
      <c r="M481" s="5" t="s">
        <v>22</v>
      </c>
      <c r="N481" s="8">
        <f t="shared" si="221"/>
        <v>1</v>
      </c>
      <c r="O481" s="5">
        <v>0</v>
      </c>
      <c r="P481" s="5">
        <v>0</v>
      </c>
      <c r="Q481" s="5" t="s">
        <v>23</v>
      </c>
      <c r="R481" s="5" t="s">
        <v>23</v>
      </c>
      <c r="S481" s="5" t="s">
        <v>23</v>
      </c>
      <c r="T481" s="5" t="s">
        <v>46</v>
      </c>
      <c r="U481" s="5" t="s">
        <v>46</v>
      </c>
      <c r="V481" s="5" t="s">
        <v>46</v>
      </c>
      <c r="W481" s="5">
        <v>0</v>
      </c>
      <c r="X481" s="10" t="s">
        <v>77</v>
      </c>
      <c r="Y481" s="10"/>
      <c r="Z481" s="10"/>
      <c r="AB481" s="2" t="str">
        <f>CONCATENATE(B481,C481,D481,",""",E481,""",",F481,",",G481,",",H481,",",I481,",",J481,",",K481,",",L481,",",M481,",",N481,",",O481,",",P481,",",Q481,",",R481,",",S481,",",T481,",",U481,",",V481,",",W481,"},//",Y464,Y481)</f>
        <v>/*17*/{" ","","","","",false,false,false,false,10.0,1,0,0,0.0,0.0,0.0,false,false,false,0},//</v>
      </c>
      <c r="AD481" s="12" t="str">
        <f t="shared" si="226"/>
        <v/>
      </c>
      <c r="AE481" s="12" t="str">
        <f t="shared" si="222"/>
        <v/>
      </c>
      <c r="AH481" s="12" t="str">
        <f t="shared" si="223"/>
        <v/>
      </c>
      <c r="AI481" s="12" t="str">
        <f t="shared" si="224"/>
        <v/>
      </c>
      <c r="AJ481" s="12" t="str">
        <f t="shared" si="225"/>
        <v/>
      </c>
    </row>
    <row r="482" spans="1:36" x14ac:dyDescent="0.25">
      <c r="A482" s="17">
        <f t="shared" si="220"/>
        <v>18</v>
      </c>
      <c r="B482" s="8" t="s">
        <v>44</v>
      </c>
      <c r="C482" s="4" t="s">
        <v>24</v>
      </c>
      <c r="D482" s="5" t="s">
        <v>0</v>
      </c>
      <c r="E482" s="5"/>
      <c r="F482" s="5" t="s">
        <v>1</v>
      </c>
      <c r="G482" s="5" t="s">
        <v>1</v>
      </c>
      <c r="H482" s="17" t="str">
        <f t="shared" si="214"/>
        <v>""</v>
      </c>
      <c r="I482" s="5" t="s">
        <v>46</v>
      </c>
      <c r="J482" s="5" t="s">
        <v>46</v>
      </c>
      <c r="K482" s="5" t="s">
        <v>46</v>
      </c>
      <c r="L482" s="5" t="s">
        <v>46</v>
      </c>
      <c r="M482" s="5" t="s">
        <v>22</v>
      </c>
      <c r="N482" s="8">
        <f t="shared" si="221"/>
        <v>1</v>
      </c>
      <c r="O482" s="5">
        <v>0</v>
      </c>
      <c r="P482" s="5">
        <v>0</v>
      </c>
      <c r="Q482" s="5" t="s">
        <v>23</v>
      </c>
      <c r="R482" s="5" t="s">
        <v>23</v>
      </c>
      <c r="S482" s="5" t="s">
        <v>23</v>
      </c>
      <c r="T482" s="5" t="s">
        <v>46</v>
      </c>
      <c r="U482" s="5" t="s">
        <v>46</v>
      </c>
      <c r="V482" s="5" t="s">
        <v>46</v>
      </c>
      <c r="W482" s="5">
        <v>0</v>
      </c>
      <c r="X482" s="10" t="s">
        <v>77</v>
      </c>
      <c r="Y482" s="10"/>
      <c r="Z482" s="10"/>
      <c r="AB482" s="2" t="str">
        <f>CONCATENATE(B482,C482,D482,",""",E482,""",",F482,",",G482,",",H482,",",I482,",",J482,",",K482,",",L482,",",M482,",",N482,",",O482,",",P482,",",Q482,",",R482,",",S482,",",T482,",",U482,",",V482,",",W482,"},//",Y464,Y482)</f>
        <v>/*18*/{" ","","","","",false,false,false,false,10.0,1,0,0,0.0,0.0,0.0,false,false,false,0},//</v>
      </c>
      <c r="AD482" s="12" t="str">
        <f t="shared" si="226"/>
        <v/>
      </c>
      <c r="AE482" s="12" t="str">
        <f t="shared" si="222"/>
        <v/>
      </c>
      <c r="AH482" s="12" t="str">
        <f t="shared" si="223"/>
        <v/>
      </c>
      <c r="AI482" s="12" t="str">
        <f t="shared" si="224"/>
        <v/>
      </c>
      <c r="AJ482" s="12" t="str">
        <f t="shared" si="225"/>
        <v/>
      </c>
    </row>
    <row r="483" spans="1:36" x14ac:dyDescent="0.25">
      <c r="A483" s="17">
        <f t="shared" si="220"/>
        <v>19</v>
      </c>
      <c r="B483" s="8" t="s">
        <v>45</v>
      </c>
      <c r="C483" s="4" t="s">
        <v>24</v>
      </c>
      <c r="D483" s="5" t="s">
        <v>0</v>
      </c>
      <c r="E483" s="5"/>
      <c r="F483" s="5" t="s">
        <v>1</v>
      </c>
      <c r="G483" s="5" t="s">
        <v>1</v>
      </c>
      <c r="H483" s="17" t="str">
        <f t="shared" si="214"/>
        <v>""</v>
      </c>
      <c r="I483" s="5" t="s">
        <v>46</v>
      </c>
      <c r="J483" s="5" t="s">
        <v>46</v>
      </c>
      <c r="K483" s="5" t="s">
        <v>46</v>
      </c>
      <c r="L483" s="5" t="s">
        <v>46</v>
      </c>
      <c r="M483" s="5" t="s">
        <v>22</v>
      </c>
      <c r="N483" s="8">
        <f t="shared" si="221"/>
        <v>1</v>
      </c>
      <c r="O483" s="5">
        <v>0</v>
      </c>
      <c r="P483" s="5">
        <v>0</v>
      </c>
      <c r="Q483" s="5" t="s">
        <v>23</v>
      </c>
      <c r="R483" s="5" t="s">
        <v>23</v>
      </c>
      <c r="S483" s="5" t="s">
        <v>23</v>
      </c>
      <c r="T483" s="5" t="s">
        <v>46</v>
      </c>
      <c r="U483" s="5" t="s">
        <v>46</v>
      </c>
      <c r="V483" s="5" t="s">
        <v>46</v>
      </c>
      <c r="W483" s="5">
        <v>0</v>
      </c>
      <c r="X483" s="10" t="s">
        <v>77</v>
      </c>
      <c r="Y483" s="10"/>
      <c r="Z483" s="10"/>
      <c r="AB483" s="2" t="str">
        <f>CONCATENATE(B483,C483,D483,",""",E483,""",",F483,",",G483,",",H483,",",I483,",",J483,",",K483,",",L483,",",M483,",",N483,",",O483,",",P483,",",Q483,",",R483,",",S483,",",T483,",",U483,",",V483,",",W483,"}//",Y464,Y483)</f>
        <v>/*19*/{" ","","","","",false,false,false,false,10.0,1,0,0,0.0,0.0,0.0,false,false,false,0}//</v>
      </c>
      <c r="AD483" s="12" t="str">
        <f t="shared" si="226"/>
        <v/>
      </c>
      <c r="AE483" s="12" t="str">
        <f t="shared" si="222"/>
        <v/>
      </c>
      <c r="AH483" s="12" t="str">
        <f t="shared" ref="AH483" si="227">IF(X483="Да",CONCATENATE("Ref.",,SUBSTITUTE(Z483," ","")," = ",$AI$1,$B$29,SUBSTITUTE(E483," ",""),";//",$Y$32,". ",Y483),"")</f>
        <v/>
      </c>
      <c r="AI483" s="12" t="str">
        <f>IF(X483="Да",CONCATENATE($AI$1,SUBSTITUTE(Z483," ","")," = Ref.",SUBSTITUTE(Z483," ",""),";//",$Y$32,". ",Y483),"")</f>
        <v/>
      </c>
      <c r="AJ483" s="12" t="str">
        <f t="shared" si="225"/>
        <v/>
      </c>
    </row>
    <row r="484" spans="1:36" x14ac:dyDescent="0.25">
      <c r="C484" s="21"/>
      <c r="D484" s="21"/>
      <c r="E484" s="5"/>
      <c r="AB484" s="3" t="s">
        <v>25</v>
      </c>
    </row>
    <row r="485" spans="1:36" x14ac:dyDescent="0.25">
      <c r="AB485" s="3" t="s">
        <v>52</v>
      </c>
    </row>
    <row r="486" spans="1:36" x14ac:dyDescent="0.25">
      <c r="AB486" s="3" t="s">
        <v>25</v>
      </c>
    </row>
    <row r="487" spans="1:36" x14ac:dyDescent="0.25">
      <c r="AB487" s="3" t="s">
        <v>74</v>
      </c>
    </row>
    <row r="488" spans="1:36" x14ac:dyDescent="0.25">
      <c r="C488" s="9"/>
      <c r="D488" s="9"/>
      <c r="E488" s="10"/>
      <c r="AB488" s="3" t="s">
        <v>50</v>
      </c>
    </row>
    <row r="489" spans="1:36" x14ac:dyDescent="0.25">
      <c r="AB489" s="3"/>
    </row>
  </sheetData>
  <dataConsolidate/>
  <mergeCells count="6">
    <mergeCell ref="C484:D484"/>
    <mergeCell ref="C364:D364"/>
    <mergeCell ref="C388:D388"/>
    <mergeCell ref="C412:D412"/>
    <mergeCell ref="C436:D436"/>
    <mergeCell ref="C460:D460"/>
  </mergeCells>
  <conditionalFormatting sqref="I15:L27">
    <cfRule type="cellIs" dxfId="1201" priority="1939" operator="equal">
      <formula>"false"</formula>
    </cfRule>
  </conditionalFormatting>
  <conditionalFormatting sqref="I15:L17 J15:L27">
    <cfRule type="cellIs" dxfId="1200" priority="1938" operator="equal">
      <formula>"false"</formula>
    </cfRule>
  </conditionalFormatting>
  <conditionalFormatting sqref="I15:L27">
    <cfRule type="cellIs" dxfId="1199" priority="1933" operator="equal">
      <formula>"true"</formula>
    </cfRule>
    <cfRule type="cellIs" dxfId="1198" priority="1934" operator="equal">
      <formula>"true"</formula>
    </cfRule>
  </conditionalFormatting>
  <conditionalFormatting sqref="T15:V27">
    <cfRule type="cellIs" dxfId="1197" priority="1932" operator="equal">
      <formula>"false"</formula>
    </cfRule>
  </conditionalFormatting>
  <conditionalFormatting sqref="T15:V27">
    <cfRule type="cellIs" dxfId="1196" priority="1931" operator="equal">
      <formula>"false"</formula>
    </cfRule>
  </conditionalFormatting>
  <conditionalFormatting sqref="T15:V27">
    <cfRule type="cellIs" dxfId="1195" priority="1929" operator="equal">
      <formula>"true"</formula>
    </cfRule>
    <cfRule type="cellIs" dxfId="1194" priority="1930" operator="equal">
      <formula>"true"</formula>
    </cfRule>
  </conditionalFormatting>
  <conditionalFormatting sqref="I46:L51 J40:K41 J37:L39 I37:J46 L37:L44">
    <cfRule type="cellIs" dxfId="1193" priority="1928" operator="equal">
      <formula>"false"</formula>
    </cfRule>
  </conditionalFormatting>
  <conditionalFormatting sqref="I46:L51 J40:K41 J37:L39 I37:J46 L37:L44">
    <cfRule type="cellIs" dxfId="1192" priority="1927" operator="equal">
      <formula>"false"</formula>
    </cfRule>
  </conditionalFormatting>
  <conditionalFormatting sqref="I46:L51 J40:K41 J37:L39 I37:J46 L37:L44">
    <cfRule type="cellIs" dxfId="1191" priority="1925" operator="equal">
      <formula>"true"</formula>
    </cfRule>
    <cfRule type="cellIs" dxfId="1190" priority="1926" operator="equal">
      <formula>"true"</formula>
    </cfRule>
  </conditionalFormatting>
  <conditionalFormatting sqref="T47:V51 V39 U40:V46 U37:V38">
    <cfRule type="cellIs" dxfId="1189" priority="1924" operator="equal">
      <formula>"false"</formula>
    </cfRule>
  </conditionalFormatting>
  <conditionalFormatting sqref="T47:V51 V39 U40:V46 U37:V38">
    <cfRule type="cellIs" dxfId="1188" priority="1923" operator="equal">
      <formula>"false"</formula>
    </cfRule>
  </conditionalFormatting>
  <conditionalFormatting sqref="T47:V51 V39 U40:V46 U37:V38">
    <cfRule type="cellIs" dxfId="1187" priority="1921" operator="equal">
      <formula>"true"</formula>
    </cfRule>
    <cfRule type="cellIs" dxfId="1186" priority="1922" operator="equal">
      <formula>"true"</formula>
    </cfRule>
  </conditionalFormatting>
  <conditionalFormatting sqref="L37:L39">
    <cfRule type="cellIs" dxfId="1185" priority="1920" operator="equal">
      <formula>"false"</formula>
    </cfRule>
  </conditionalFormatting>
  <conditionalFormatting sqref="L37:L39">
    <cfRule type="cellIs" dxfId="1184" priority="1919" operator="equal">
      <formula>"false"</formula>
    </cfRule>
  </conditionalFormatting>
  <conditionalFormatting sqref="L37:L39">
    <cfRule type="cellIs" dxfId="1183" priority="1917" operator="equal">
      <formula>"true"</formula>
    </cfRule>
    <cfRule type="cellIs" dxfId="1182" priority="1918" operator="equal">
      <formula>"true"</formula>
    </cfRule>
  </conditionalFormatting>
  <conditionalFormatting sqref="U39">
    <cfRule type="cellIs" dxfId="1181" priority="1896" operator="equal">
      <formula>"false"</formula>
    </cfRule>
  </conditionalFormatting>
  <conditionalFormatting sqref="U39">
    <cfRule type="cellIs" dxfId="1180" priority="1895" operator="equal">
      <formula>"false"</formula>
    </cfRule>
  </conditionalFormatting>
  <conditionalFormatting sqref="U39">
    <cfRule type="cellIs" dxfId="1179" priority="1893" operator="equal">
      <formula>"true"</formula>
    </cfRule>
    <cfRule type="cellIs" dxfId="1178" priority="1894" operator="equal">
      <formula>"true"</formula>
    </cfRule>
  </conditionalFormatting>
  <conditionalFormatting sqref="I70:L75">
    <cfRule type="cellIs" dxfId="1177" priority="1892" operator="equal">
      <formula>"false"</formula>
    </cfRule>
  </conditionalFormatting>
  <conditionalFormatting sqref="I70:L75">
    <cfRule type="cellIs" dxfId="1176" priority="1891" operator="equal">
      <formula>"false"</formula>
    </cfRule>
  </conditionalFormatting>
  <conditionalFormatting sqref="I70:L75">
    <cfRule type="cellIs" dxfId="1175" priority="1889" operator="equal">
      <formula>"true"</formula>
    </cfRule>
    <cfRule type="cellIs" dxfId="1174" priority="1890" operator="equal">
      <formula>"true"</formula>
    </cfRule>
  </conditionalFormatting>
  <conditionalFormatting sqref="U57:V62 T71:V75 V63 U64:V70">
    <cfRule type="cellIs" dxfId="1173" priority="1888" operator="equal">
      <formula>"false"</formula>
    </cfRule>
  </conditionalFormatting>
  <conditionalFormatting sqref="U57:V62 T71:V75 V63 U64:V70">
    <cfRule type="cellIs" dxfId="1172" priority="1887" operator="equal">
      <formula>"false"</formula>
    </cfRule>
  </conditionalFormatting>
  <conditionalFormatting sqref="U57:V62 T71:V75 V63 U64:V70">
    <cfRule type="cellIs" dxfId="1171" priority="1885" operator="equal">
      <formula>"true"</formula>
    </cfRule>
    <cfRule type="cellIs" dxfId="1170" priority="1886" operator="equal">
      <formula>"true"</formula>
    </cfRule>
  </conditionalFormatting>
  <conditionalFormatting sqref="U63">
    <cfRule type="cellIs" dxfId="1169" priority="1864" operator="equal">
      <formula>"false"</formula>
    </cfRule>
  </conditionalFormatting>
  <conditionalFormatting sqref="U63">
    <cfRule type="cellIs" dxfId="1168" priority="1863" operator="equal">
      <formula>"false"</formula>
    </cfRule>
  </conditionalFormatting>
  <conditionalFormatting sqref="U63">
    <cfRule type="cellIs" dxfId="1167" priority="1861" operator="equal">
      <formula>"true"</formula>
    </cfRule>
    <cfRule type="cellIs" dxfId="1166" priority="1862" operator="equal">
      <formula>"true"</formula>
    </cfRule>
  </conditionalFormatting>
  <conditionalFormatting sqref="I91:L99">
    <cfRule type="cellIs" dxfId="1165" priority="1836" operator="equal">
      <formula>"false"</formula>
    </cfRule>
  </conditionalFormatting>
  <conditionalFormatting sqref="I91:L99">
    <cfRule type="cellIs" dxfId="1164" priority="1835" operator="equal">
      <formula>"false"</formula>
    </cfRule>
  </conditionalFormatting>
  <conditionalFormatting sqref="I91:L99">
    <cfRule type="cellIs" dxfId="1163" priority="1833" operator="equal">
      <formula>"true"</formula>
    </cfRule>
    <cfRule type="cellIs" dxfId="1162" priority="1834" operator="equal">
      <formula>"true"</formula>
    </cfRule>
  </conditionalFormatting>
  <conditionalFormatting sqref="T91:V99">
    <cfRule type="cellIs" dxfId="1161" priority="1832" operator="equal">
      <formula>"false"</formula>
    </cfRule>
  </conditionalFormatting>
  <conditionalFormatting sqref="T91:V99">
    <cfRule type="cellIs" dxfId="1160" priority="1831" operator="equal">
      <formula>"false"</formula>
    </cfRule>
  </conditionalFormatting>
  <conditionalFormatting sqref="T91:V99">
    <cfRule type="cellIs" dxfId="1159" priority="1829" operator="equal">
      <formula>"true"</formula>
    </cfRule>
    <cfRule type="cellIs" dxfId="1158" priority="1830" operator="equal">
      <formula>"true"</formula>
    </cfRule>
  </conditionalFormatting>
  <conditionalFormatting sqref="I115:L123">
    <cfRule type="cellIs" dxfId="1157" priority="1788" operator="equal">
      <formula>"false"</formula>
    </cfRule>
  </conditionalFormatting>
  <conditionalFormatting sqref="I115:L123">
    <cfRule type="cellIs" dxfId="1156" priority="1787" operator="equal">
      <formula>"false"</formula>
    </cfRule>
  </conditionalFormatting>
  <conditionalFormatting sqref="I115:L123">
    <cfRule type="cellIs" dxfId="1155" priority="1785" operator="equal">
      <formula>"true"</formula>
    </cfRule>
    <cfRule type="cellIs" dxfId="1154" priority="1786" operator="equal">
      <formula>"true"</formula>
    </cfRule>
  </conditionalFormatting>
  <conditionalFormatting sqref="T115:V123">
    <cfRule type="cellIs" dxfId="1153" priority="1784" operator="equal">
      <formula>"false"</formula>
    </cfRule>
  </conditionalFormatting>
  <conditionalFormatting sqref="T115:V123">
    <cfRule type="cellIs" dxfId="1152" priority="1783" operator="equal">
      <formula>"false"</formula>
    </cfRule>
  </conditionalFormatting>
  <conditionalFormatting sqref="T115:V123">
    <cfRule type="cellIs" dxfId="1151" priority="1781" operator="equal">
      <formula>"true"</formula>
    </cfRule>
    <cfRule type="cellIs" dxfId="1150" priority="1782" operator="equal">
      <formula>"true"</formula>
    </cfRule>
  </conditionalFormatting>
  <conditionalFormatting sqref="I146:L147">
    <cfRule type="cellIs" dxfId="1149" priority="1740" operator="equal">
      <formula>"false"</formula>
    </cfRule>
  </conditionalFormatting>
  <conditionalFormatting sqref="I146:L147">
    <cfRule type="cellIs" dxfId="1148" priority="1739" operator="equal">
      <formula>"false"</formula>
    </cfRule>
  </conditionalFormatting>
  <conditionalFormatting sqref="I146:L147">
    <cfRule type="cellIs" dxfId="1147" priority="1737" operator="equal">
      <formula>"true"</formula>
    </cfRule>
    <cfRule type="cellIs" dxfId="1146" priority="1738" operator="equal">
      <formula>"true"</formula>
    </cfRule>
  </conditionalFormatting>
  <conditionalFormatting sqref="T146:V147">
    <cfRule type="cellIs" dxfId="1145" priority="1736" operator="equal">
      <formula>"false"</formula>
    </cfRule>
  </conditionalFormatting>
  <conditionalFormatting sqref="T146:V147">
    <cfRule type="cellIs" dxfId="1144" priority="1735" operator="equal">
      <formula>"false"</formula>
    </cfRule>
  </conditionalFormatting>
  <conditionalFormatting sqref="T146:V147">
    <cfRule type="cellIs" dxfId="1143" priority="1733" operator="equal">
      <formula>"true"</formula>
    </cfRule>
    <cfRule type="cellIs" dxfId="1142" priority="1734" operator="equal">
      <formula>"true"</formula>
    </cfRule>
  </conditionalFormatting>
  <conditionalFormatting sqref="I163:L171">
    <cfRule type="cellIs" dxfId="1141" priority="1692" operator="equal">
      <formula>"false"</formula>
    </cfRule>
  </conditionalFormatting>
  <conditionalFormatting sqref="I163:L171">
    <cfRule type="cellIs" dxfId="1140" priority="1691" operator="equal">
      <formula>"false"</formula>
    </cfRule>
  </conditionalFormatting>
  <conditionalFormatting sqref="I163:L171">
    <cfRule type="cellIs" dxfId="1139" priority="1689" operator="equal">
      <formula>"true"</formula>
    </cfRule>
    <cfRule type="cellIs" dxfId="1138" priority="1690" operator="equal">
      <formula>"true"</formula>
    </cfRule>
  </conditionalFormatting>
  <conditionalFormatting sqref="T163:V171">
    <cfRule type="cellIs" dxfId="1137" priority="1688" operator="equal">
      <formula>"false"</formula>
    </cfRule>
  </conditionalFormatting>
  <conditionalFormatting sqref="T163:V171">
    <cfRule type="cellIs" dxfId="1136" priority="1687" operator="equal">
      <formula>"false"</formula>
    </cfRule>
  </conditionalFormatting>
  <conditionalFormatting sqref="T163:V171">
    <cfRule type="cellIs" dxfId="1135" priority="1685" operator="equal">
      <formula>"true"</formula>
    </cfRule>
    <cfRule type="cellIs" dxfId="1134" priority="1686" operator="equal">
      <formula>"true"</formula>
    </cfRule>
  </conditionalFormatting>
  <conditionalFormatting sqref="I185:L195 J182:L185">
    <cfRule type="cellIs" dxfId="1133" priority="1644" operator="equal">
      <formula>"false"</formula>
    </cfRule>
  </conditionalFormatting>
  <conditionalFormatting sqref="I185:L195 J182:L185">
    <cfRule type="cellIs" dxfId="1132" priority="1643" operator="equal">
      <formula>"false"</formula>
    </cfRule>
  </conditionalFormatting>
  <conditionalFormatting sqref="I185:L195 J182:L185">
    <cfRule type="cellIs" dxfId="1131" priority="1641" operator="equal">
      <formula>"true"</formula>
    </cfRule>
    <cfRule type="cellIs" dxfId="1130" priority="1642" operator="equal">
      <formula>"true"</formula>
    </cfRule>
  </conditionalFormatting>
  <conditionalFormatting sqref="T182:V182 T184:V195 V183">
    <cfRule type="cellIs" dxfId="1129" priority="1640" operator="equal">
      <formula>"false"</formula>
    </cfRule>
  </conditionalFormatting>
  <conditionalFormatting sqref="T182:V182 T184:V195 V183">
    <cfRule type="cellIs" dxfId="1128" priority="1639" operator="equal">
      <formula>"false"</formula>
    </cfRule>
  </conditionalFormatting>
  <conditionalFormatting sqref="T182:V182 T184:V195 V183">
    <cfRule type="cellIs" dxfId="1127" priority="1637" operator="equal">
      <formula>"true"</formula>
    </cfRule>
    <cfRule type="cellIs" dxfId="1126" priority="1638" operator="equal">
      <formula>"true"</formula>
    </cfRule>
  </conditionalFormatting>
  <conditionalFormatting sqref="U183">
    <cfRule type="cellIs" dxfId="1125" priority="1624" operator="equal">
      <formula>"false"</formula>
    </cfRule>
  </conditionalFormatting>
  <conditionalFormatting sqref="U183">
    <cfRule type="cellIs" dxfId="1124" priority="1623" operator="equal">
      <formula>"false"</formula>
    </cfRule>
  </conditionalFormatting>
  <conditionalFormatting sqref="U183">
    <cfRule type="cellIs" dxfId="1123" priority="1621" operator="equal">
      <formula>"true"</formula>
    </cfRule>
    <cfRule type="cellIs" dxfId="1122" priority="1622" operator="equal">
      <formula>"true"</formula>
    </cfRule>
  </conditionalFormatting>
  <conditionalFormatting sqref="K182:K184">
    <cfRule type="cellIs" dxfId="1121" priority="1604" operator="equal">
      <formula>"false"</formula>
    </cfRule>
  </conditionalFormatting>
  <conditionalFormatting sqref="K182:K184">
    <cfRule type="cellIs" dxfId="1120" priority="1603" operator="equal">
      <formula>"false"</formula>
    </cfRule>
  </conditionalFormatting>
  <conditionalFormatting sqref="K182:K184">
    <cfRule type="cellIs" dxfId="1119" priority="1601" operator="equal">
      <formula>"true"</formula>
    </cfRule>
    <cfRule type="cellIs" dxfId="1118" priority="1602" operator="equal">
      <formula>"true"</formula>
    </cfRule>
  </conditionalFormatting>
  <conditionalFormatting sqref="T183">
    <cfRule type="cellIs" dxfId="1117" priority="1600" operator="equal">
      <formula>"false"</formula>
    </cfRule>
  </conditionalFormatting>
  <conditionalFormatting sqref="T183">
    <cfRule type="cellIs" dxfId="1116" priority="1599" operator="equal">
      <formula>"false"</formula>
    </cfRule>
  </conditionalFormatting>
  <conditionalFormatting sqref="T183">
    <cfRule type="cellIs" dxfId="1115" priority="1597" operator="equal">
      <formula>"true"</formula>
    </cfRule>
    <cfRule type="cellIs" dxfId="1114" priority="1598" operator="equal">
      <formula>"true"</formula>
    </cfRule>
  </conditionalFormatting>
  <conditionalFormatting sqref="I182:I184">
    <cfRule type="cellIs" dxfId="1113" priority="1596" operator="equal">
      <formula>"false"</formula>
    </cfRule>
  </conditionalFormatting>
  <conditionalFormatting sqref="I182:I184">
    <cfRule type="cellIs" dxfId="1112" priority="1595" operator="equal">
      <formula>"false"</formula>
    </cfRule>
  </conditionalFormatting>
  <conditionalFormatting sqref="I182:I184">
    <cfRule type="cellIs" dxfId="1111" priority="1593" operator="equal">
      <formula>"true"</formula>
    </cfRule>
    <cfRule type="cellIs" dxfId="1110" priority="1594" operator="equal">
      <formula>"true"</formula>
    </cfRule>
  </conditionalFormatting>
  <conditionalFormatting sqref="I210:L219">
    <cfRule type="cellIs" dxfId="1109" priority="1584" operator="equal">
      <formula>"false"</formula>
    </cfRule>
  </conditionalFormatting>
  <conditionalFormatting sqref="I210:L219">
    <cfRule type="cellIs" dxfId="1108" priority="1583" operator="equal">
      <formula>"false"</formula>
    </cfRule>
  </conditionalFormatting>
  <conditionalFormatting sqref="I210:L219">
    <cfRule type="cellIs" dxfId="1107" priority="1581" operator="equal">
      <formula>"true"</formula>
    </cfRule>
    <cfRule type="cellIs" dxfId="1106" priority="1582" operator="equal">
      <formula>"true"</formula>
    </cfRule>
  </conditionalFormatting>
  <conditionalFormatting sqref="T210:V219">
    <cfRule type="cellIs" dxfId="1105" priority="1580" operator="equal">
      <formula>"false"</formula>
    </cfRule>
  </conditionalFormatting>
  <conditionalFormatting sqref="T210:V219">
    <cfRule type="cellIs" dxfId="1104" priority="1579" operator="equal">
      <formula>"false"</formula>
    </cfRule>
  </conditionalFormatting>
  <conditionalFormatting sqref="T210:V219">
    <cfRule type="cellIs" dxfId="1103" priority="1577" operator="equal">
      <formula>"true"</formula>
    </cfRule>
    <cfRule type="cellIs" dxfId="1102" priority="1578" operator="equal">
      <formula>"true"</formula>
    </cfRule>
  </conditionalFormatting>
  <conditionalFormatting sqref="I233:L243 J225:L232 J224:K224">
    <cfRule type="cellIs" dxfId="1101" priority="1540" operator="equal">
      <formula>"false"</formula>
    </cfRule>
  </conditionalFormatting>
  <conditionalFormatting sqref="I233:L243 J225:L232 J224:K224">
    <cfRule type="cellIs" dxfId="1100" priority="1539" operator="equal">
      <formula>"false"</formula>
    </cfRule>
  </conditionalFormatting>
  <conditionalFormatting sqref="I233:L243 J225:L232 J224:K224">
    <cfRule type="cellIs" dxfId="1099" priority="1537" operator="equal">
      <formula>"true"</formula>
    </cfRule>
    <cfRule type="cellIs" dxfId="1098" priority="1538" operator="equal">
      <formula>"true"</formula>
    </cfRule>
  </conditionalFormatting>
  <conditionalFormatting sqref="T224:V230 T232:V243 V231">
    <cfRule type="cellIs" dxfId="1097" priority="1536" operator="equal">
      <formula>"false"</formula>
    </cfRule>
  </conditionalFormatting>
  <conditionalFormatting sqref="T224:V230 T232:V243 V231">
    <cfRule type="cellIs" dxfId="1096" priority="1535" operator="equal">
      <formula>"false"</formula>
    </cfRule>
  </conditionalFormatting>
  <conditionalFormatting sqref="T224:V230 T232:V243 V231">
    <cfRule type="cellIs" dxfId="1095" priority="1533" operator="equal">
      <formula>"true"</formula>
    </cfRule>
    <cfRule type="cellIs" dxfId="1094" priority="1534" operator="equal">
      <formula>"true"</formula>
    </cfRule>
  </conditionalFormatting>
  <conditionalFormatting sqref="U231">
    <cfRule type="cellIs" dxfId="1093" priority="1532" operator="equal">
      <formula>"false"</formula>
    </cfRule>
  </conditionalFormatting>
  <conditionalFormatting sqref="U231">
    <cfRule type="cellIs" dxfId="1092" priority="1531" operator="equal">
      <formula>"false"</formula>
    </cfRule>
  </conditionalFormatting>
  <conditionalFormatting sqref="U231">
    <cfRule type="cellIs" dxfId="1091" priority="1529" operator="equal">
      <formula>"true"</formula>
    </cfRule>
    <cfRule type="cellIs" dxfId="1090" priority="1530" operator="equal">
      <formula>"true"</formula>
    </cfRule>
  </conditionalFormatting>
  <conditionalFormatting sqref="J224:K224">
    <cfRule type="cellIs" dxfId="1089" priority="1528" operator="equal">
      <formula>"false"</formula>
    </cfRule>
  </conditionalFormatting>
  <conditionalFormatting sqref="J224:K224">
    <cfRule type="cellIs" dxfId="1088" priority="1527" operator="equal">
      <formula>"false"</formula>
    </cfRule>
  </conditionalFormatting>
  <conditionalFormatting sqref="J224:K224">
    <cfRule type="cellIs" dxfId="1087" priority="1525" operator="equal">
      <formula>"true"</formula>
    </cfRule>
    <cfRule type="cellIs" dxfId="1086" priority="1526" operator="equal">
      <formula>"true"</formula>
    </cfRule>
  </conditionalFormatting>
  <conditionalFormatting sqref="K225">
    <cfRule type="cellIs" dxfId="1085" priority="1524" operator="equal">
      <formula>"false"</formula>
    </cfRule>
  </conditionalFormatting>
  <conditionalFormatting sqref="K225">
    <cfRule type="cellIs" dxfId="1084" priority="1523" operator="equal">
      <formula>"false"</formula>
    </cfRule>
  </conditionalFormatting>
  <conditionalFormatting sqref="K225">
    <cfRule type="cellIs" dxfId="1083" priority="1521" operator="equal">
      <formula>"true"</formula>
    </cfRule>
    <cfRule type="cellIs" dxfId="1082" priority="1522" operator="equal">
      <formula>"true"</formula>
    </cfRule>
  </conditionalFormatting>
  <conditionalFormatting sqref="K226:K228">
    <cfRule type="cellIs" dxfId="1081" priority="1520" operator="equal">
      <formula>"false"</formula>
    </cfRule>
  </conditionalFormatting>
  <conditionalFormatting sqref="K226:K228">
    <cfRule type="cellIs" dxfId="1080" priority="1519" operator="equal">
      <formula>"false"</formula>
    </cfRule>
  </conditionalFormatting>
  <conditionalFormatting sqref="K226:K228">
    <cfRule type="cellIs" dxfId="1079" priority="1517" operator="equal">
      <formula>"true"</formula>
    </cfRule>
    <cfRule type="cellIs" dxfId="1078" priority="1518" operator="equal">
      <formula>"true"</formula>
    </cfRule>
  </conditionalFormatting>
  <conditionalFormatting sqref="K230:K232">
    <cfRule type="cellIs" dxfId="1077" priority="1516" operator="equal">
      <formula>"false"</formula>
    </cfRule>
  </conditionalFormatting>
  <conditionalFormatting sqref="K230:K232">
    <cfRule type="cellIs" dxfId="1076" priority="1515" operator="equal">
      <formula>"false"</formula>
    </cfRule>
  </conditionalFormatting>
  <conditionalFormatting sqref="K230:K232">
    <cfRule type="cellIs" dxfId="1075" priority="1513" operator="equal">
      <formula>"true"</formula>
    </cfRule>
    <cfRule type="cellIs" dxfId="1074" priority="1514" operator="equal">
      <formula>"true"</formula>
    </cfRule>
  </conditionalFormatting>
  <conditionalFormatting sqref="T231">
    <cfRule type="cellIs" dxfId="1073" priority="1512" operator="equal">
      <formula>"false"</formula>
    </cfRule>
  </conditionalFormatting>
  <conditionalFormatting sqref="T231">
    <cfRule type="cellIs" dxfId="1072" priority="1511" operator="equal">
      <formula>"false"</formula>
    </cfRule>
  </conditionalFormatting>
  <conditionalFormatting sqref="T231">
    <cfRule type="cellIs" dxfId="1071" priority="1509" operator="equal">
      <formula>"true"</formula>
    </cfRule>
    <cfRule type="cellIs" dxfId="1070" priority="1510" operator="equal">
      <formula>"true"</formula>
    </cfRule>
  </conditionalFormatting>
  <conditionalFormatting sqref="I225:I232">
    <cfRule type="cellIs" dxfId="1069" priority="1508" operator="equal">
      <formula>"false"</formula>
    </cfRule>
  </conditionalFormatting>
  <conditionalFormatting sqref="I225:I232">
    <cfRule type="cellIs" dxfId="1068" priority="1507" operator="equal">
      <formula>"false"</formula>
    </cfRule>
  </conditionalFormatting>
  <conditionalFormatting sqref="I225:I232">
    <cfRule type="cellIs" dxfId="1067" priority="1505" operator="equal">
      <formula>"true"</formula>
    </cfRule>
    <cfRule type="cellIs" dxfId="1066" priority="1506" operator="equal">
      <formula>"true"</formula>
    </cfRule>
  </conditionalFormatting>
  <conditionalFormatting sqref="I224">
    <cfRule type="cellIs" dxfId="1065" priority="1504" operator="equal">
      <formula>"false"</formula>
    </cfRule>
  </conditionalFormatting>
  <conditionalFormatting sqref="I224">
    <cfRule type="cellIs" dxfId="1064" priority="1503" operator="equal">
      <formula>"false"</formula>
    </cfRule>
  </conditionalFormatting>
  <conditionalFormatting sqref="I224">
    <cfRule type="cellIs" dxfId="1063" priority="1501" operator="equal">
      <formula>"true"</formula>
    </cfRule>
    <cfRule type="cellIs" dxfId="1062" priority="1502" operator="equal">
      <formula>"true"</formula>
    </cfRule>
  </conditionalFormatting>
  <conditionalFormatting sqref="I257:L267 J249:L256 J248:K248">
    <cfRule type="cellIs" dxfId="1061" priority="1496" operator="equal">
      <formula>"false"</formula>
    </cfRule>
  </conditionalFormatting>
  <conditionalFormatting sqref="I257:L267 J249:L256 J248:K248">
    <cfRule type="cellIs" dxfId="1060" priority="1495" operator="equal">
      <formula>"false"</formula>
    </cfRule>
  </conditionalFormatting>
  <conditionalFormatting sqref="I257:L267 J249:L256 J248:K248">
    <cfRule type="cellIs" dxfId="1059" priority="1493" operator="equal">
      <formula>"true"</formula>
    </cfRule>
    <cfRule type="cellIs" dxfId="1058" priority="1494" operator="equal">
      <formula>"true"</formula>
    </cfRule>
  </conditionalFormatting>
  <conditionalFormatting sqref="T248:V254 T256:V267 V255">
    <cfRule type="cellIs" dxfId="1057" priority="1492" operator="equal">
      <formula>"false"</formula>
    </cfRule>
  </conditionalFormatting>
  <conditionalFormatting sqref="T248:V254 T256:V267 V255">
    <cfRule type="cellIs" dxfId="1056" priority="1491" operator="equal">
      <formula>"false"</formula>
    </cfRule>
  </conditionalFormatting>
  <conditionalFormatting sqref="T248:V254 T256:V267 V255">
    <cfRule type="cellIs" dxfId="1055" priority="1489" operator="equal">
      <formula>"true"</formula>
    </cfRule>
    <cfRule type="cellIs" dxfId="1054" priority="1490" operator="equal">
      <formula>"true"</formula>
    </cfRule>
  </conditionalFormatting>
  <conditionalFormatting sqref="U255">
    <cfRule type="cellIs" dxfId="1053" priority="1488" operator="equal">
      <formula>"false"</formula>
    </cfRule>
  </conditionalFormatting>
  <conditionalFormatting sqref="U255">
    <cfRule type="cellIs" dxfId="1052" priority="1487" operator="equal">
      <formula>"false"</formula>
    </cfRule>
  </conditionalFormatting>
  <conditionalFormatting sqref="U255">
    <cfRule type="cellIs" dxfId="1051" priority="1485" operator="equal">
      <formula>"true"</formula>
    </cfRule>
    <cfRule type="cellIs" dxfId="1050" priority="1486" operator="equal">
      <formula>"true"</formula>
    </cfRule>
  </conditionalFormatting>
  <conditionalFormatting sqref="J248:K248">
    <cfRule type="cellIs" dxfId="1049" priority="1484" operator="equal">
      <formula>"false"</formula>
    </cfRule>
  </conditionalFormatting>
  <conditionalFormatting sqref="J248:K248">
    <cfRule type="cellIs" dxfId="1048" priority="1483" operator="equal">
      <formula>"false"</formula>
    </cfRule>
  </conditionalFormatting>
  <conditionalFormatting sqref="J248:K248">
    <cfRule type="cellIs" dxfId="1047" priority="1481" operator="equal">
      <formula>"true"</formula>
    </cfRule>
    <cfRule type="cellIs" dxfId="1046" priority="1482" operator="equal">
      <formula>"true"</formula>
    </cfRule>
  </conditionalFormatting>
  <conditionalFormatting sqref="K249">
    <cfRule type="cellIs" dxfId="1045" priority="1480" operator="equal">
      <formula>"false"</formula>
    </cfRule>
  </conditionalFormatting>
  <conditionalFormatting sqref="K249">
    <cfRule type="cellIs" dxfId="1044" priority="1479" operator="equal">
      <formula>"false"</formula>
    </cfRule>
  </conditionalFormatting>
  <conditionalFormatting sqref="K249">
    <cfRule type="cellIs" dxfId="1043" priority="1477" operator="equal">
      <formula>"true"</formula>
    </cfRule>
    <cfRule type="cellIs" dxfId="1042" priority="1478" operator="equal">
      <formula>"true"</formula>
    </cfRule>
  </conditionalFormatting>
  <conditionalFormatting sqref="K250:K252">
    <cfRule type="cellIs" dxfId="1041" priority="1476" operator="equal">
      <formula>"false"</formula>
    </cfRule>
  </conditionalFormatting>
  <conditionalFormatting sqref="K250:K252">
    <cfRule type="cellIs" dxfId="1040" priority="1475" operator="equal">
      <formula>"false"</formula>
    </cfRule>
  </conditionalFormatting>
  <conditionalFormatting sqref="K250:K252">
    <cfRule type="cellIs" dxfId="1039" priority="1473" operator="equal">
      <formula>"true"</formula>
    </cfRule>
    <cfRule type="cellIs" dxfId="1038" priority="1474" operator="equal">
      <formula>"true"</formula>
    </cfRule>
  </conditionalFormatting>
  <conditionalFormatting sqref="K254:K256">
    <cfRule type="cellIs" dxfId="1037" priority="1472" operator="equal">
      <formula>"false"</formula>
    </cfRule>
  </conditionalFormatting>
  <conditionalFormatting sqref="K254:K256">
    <cfRule type="cellIs" dxfId="1036" priority="1471" operator="equal">
      <formula>"false"</formula>
    </cfRule>
  </conditionalFormatting>
  <conditionalFormatting sqref="K254:K256">
    <cfRule type="cellIs" dxfId="1035" priority="1469" operator="equal">
      <formula>"true"</formula>
    </cfRule>
    <cfRule type="cellIs" dxfId="1034" priority="1470" operator="equal">
      <formula>"true"</formula>
    </cfRule>
  </conditionalFormatting>
  <conditionalFormatting sqref="T255">
    <cfRule type="cellIs" dxfId="1033" priority="1468" operator="equal">
      <formula>"false"</formula>
    </cfRule>
  </conditionalFormatting>
  <conditionalFormatting sqref="T255">
    <cfRule type="cellIs" dxfId="1032" priority="1467" operator="equal">
      <formula>"false"</formula>
    </cfRule>
  </conditionalFormatting>
  <conditionalFormatting sqref="T255">
    <cfRule type="cellIs" dxfId="1031" priority="1465" operator="equal">
      <formula>"true"</formula>
    </cfRule>
    <cfRule type="cellIs" dxfId="1030" priority="1466" operator="equal">
      <formula>"true"</formula>
    </cfRule>
  </conditionalFormatting>
  <conditionalFormatting sqref="I249:I256">
    <cfRule type="cellIs" dxfId="1029" priority="1464" operator="equal">
      <formula>"false"</formula>
    </cfRule>
  </conditionalFormatting>
  <conditionalFormatting sqref="I249:I256">
    <cfRule type="cellIs" dxfId="1028" priority="1463" operator="equal">
      <formula>"false"</formula>
    </cfRule>
  </conditionalFormatting>
  <conditionalFormatting sqref="I249:I256">
    <cfRule type="cellIs" dxfId="1027" priority="1461" operator="equal">
      <formula>"true"</formula>
    </cfRule>
    <cfRule type="cellIs" dxfId="1026" priority="1462" operator="equal">
      <formula>"true"</formula>
    </cfRule>
  </conditionalFormatting>
  <conditionalFormatting sqref="I248">
    <cfRule type="cellIs" dxfId="1025" priority="1460" operator="equal">
      <formula>"false"</formula>
    </cfRule>
  </conditionalFormatting>
  <conditionalFormatting sqref="I248">
    <cfRule type="cellIs" dxfId="1024" priority="1459" operator="equal">
      <formula>"false"</formula>
    </cfRule>
  </conditionalFormatting>
  <conditionalFormatting sqref="I248">
    <cfRule type="cellIs" dxfId="1023" priority="1457" operator="equal">
      <formula>"true"</formula>
    </cfRule>
    <cfRule type="cellIs" dxfId="1022" priority="1458" operator="equal">
      <formula>"true"</formula>
    </cfRule>
  </conditionalFormatting>
  <conditionalFormatting sqref="L248">
    <cfRule type="cellIs" dxfId="1021" priority="1456" operator="equal">
      <formula>"false"</formula>
    </cfRule>
  </conditionalFormatting>
  <conditionalFormatting sqref="L248">
    <cfRule type="cellIs" dxfId="1020" priority="1455" operator="equal">
      <formula>"false"</formula>
    </cfRule>
  </conditionalFormatting>
  <conditionalFormatting sqref="L248">
    <cfRule type="cellIs" dxfId="1019" priority="1453" operator="equal">
      <formula>"true"</formula>
    </cfRule>
    <cfRule type="cellIs" dxfId="1018" priority="1454" operator="equal">
      <formula>"true"</formula>
    </cfRule>
  </conditionalFormatting>
  <conditionalFormatting sqref="I281:L291 J273:L280 J272:K272">
    <cfRule type="cellIs" dxfId="1017" priority="1452" operator="equal">
      <formula>"false"</formula>
    </cfRule>
  </conditionalFormatting>
  <conditionalFormatting sqref="I281:L291 J273:L280 J272:K272">
    <cfRule type="cellIs" dxfId="1016" priority="1451" operator="equal">
      <formula>"false"</formula>
    </cfRule>
  </conditionalFormatting>
  <conditionalFormatting sqref="I281:L291 J273:L280 J272:K272">
    <cfRule type="cellIs" dxfId="1015" priority="1449" operator="equal">
      <formula>"true"</formula>
    </cfRule>
    <cfRule type="cellIs" dxfId="1014" priority="1450" operator="equal">
      <formula>"true"</formula>
    </cfRule>
  </conditionalFormatting>
  <conditionalFormatting sqref="T272:V278 T280:V291 V279">
    <cfRule type="cellIs" dxfId="1013" priority="1448" operator="equal">
      <formula>"false"</formula>
    </cfRule>
  </conditionalFormatting>
  <conditionalFormatting sqref="T272:V278 T280:V291 V279">
    <cfRule type="cellIs" dxfId="1012" priority="1447" operator="equal">
      <formula>"false"</formula>
    </cfRule>
  </conditionalFormatting>
  <conditionalFormatting sqref="T272:V278 T280:V291 V279">
    <cfRule type="cellIs" dxfId="1011" priority="1445" operator="equal">
      <formula>"true"</formula>
    </cfRule>
    <cfRule type="cellIs" dxfId="1010" priority="1446" operator="equal">
      <formula>"true"</formula>
    </cfRule>
  </conditionalFormatting>
  <conditionalFormatting sqref="U279">
    <cfRule type="cellIs" dxfId="1009" priority="1444" operator="equal">
      <formula>"false"</formula>
    </cfRule>
  </conditionalFormatting>
  <conditionalFormatting sqref="U279">
    <cfRule type="cellIs" dxfId="1008" priority="1443" operator="equal">
      <formula>"false"</formula>
    </cfRule>
  </conditionalFormatting>
  <conditionalFormatting sqref="U279">
    <cfRule type="cellIs" dxfId="1007" priority="1441" operator="equal">
      <formula>"true"</formula>
    </cfRule>
    <cfRule type="cellIs" dxfId="1006" priority="1442" operator="equal">
      <formula>"true"</formula>
    </cfRule>
  </conditionalFormatting>
  <conditionalFormatting sqref="J272:K272">
    <cfRule type="cellIs" dxfId="1005" priority="1440" operator="equal">
      <formula>"false"</formula>
    </cfRule>
  </conditionalFormatting>
  <conditionalFormatting sqref="J272:K272">
    <cfRule type="cellIs" dxfId="1004" priority="1439" operator="equal">
      <formula>"false"</formula>
    </cfRule>
  </conditionalFormatting>
  <conditionalFormatting sqref="J272:K272">
    <cfRule type="cellIs" dxfId="1003" priority="1437" operator="equal">
      <formula>"true"</formula>
    </cfRule>
    <cfRule type="cellIs" dxfId="1002" priority="1438" operator="equal">
      <formula>"true"</formula>
    </cfRule>
  </conditionalFormatting>
  <conditionalFormatting sqref="K273">
    <cfRule type="cellIs" dxfId="1001" priority="1436" operator="equal">
      <formula>"false"</formula>
    </cfRule>
  </conditionalFormatting>
  <conditionalFormatting sqref="K273">
    <cfRule type="cellIs" dxfId="1000" priority="1435" operator="equal">
      <formula>"false"</formula>
    </cfRule>
  </conditionalFormatting>
  <conditionalFormatting sqref="K273">
    <cfRule type="cellIs" dxfId="999" priority="1433" operator="equal">
      <formula>"true"</formula>
    </cfRule>
    <cfRule type="cellIs" dxfId="998" priority="1434" operator="equal">
      <formula>"true"</formula>
    </cfRule>
  </conditionalFormatting>
  <conditionalFormatting sqref="K274:K276">
    <cfRule type="cellIs" dxfId="997" priority="1432" operator="equal">
      <formula>"false"</formula>
    </cfRule>
  </conditionalFormatting>
  <conditionalFormatting sqref="K274:K276">
    <cfRule type="cellIs" dxfId="996" priority="1431" operator="equal">
      <formula>"false"</formula>
    </cfRule>
  </conditionalFormatting>
  <conditionalFormatting sqref="K274:K276">
    <cfRule type="cellIs" dxfId="995" priority="1429" operator="equal">
      <formula>"true"</formula>
    </cfRule>
    <cfRule type="cellIs" dxfId="994" priority="1430" operator="equal">
      <formula>"true"</formula>
    </cfRule>
  </conditionalFormatting>
  <conditionalFormatting sqref="K278:K280">
    <cfRule type="cellIs" dxfId="993" priority="1428" operator="equal">
      <formula>"false"</formula>
    </cfRule>
  </conditionalFormatting>
  <conditionalFormatting sqref="K278:K280">
    <cfRule type="cellIs" dxfId="992" priority="1427" operator="equal">
      <formula>"false"</formula>
    </cfRule>
  </conditionalFormatting>
  <conditionalFormatting sqref="K278:K280">
    <cfRule type="cellIs" dxfId="991" priority="1425" operator="equal">
      <formula>"true"</formula>
    </cfRule>
    <cfRule type="cellIs" dxfId="990" priority="1426" operator="equal">
      <formula>"true"</formula>
    </cfRule>
  </conditionalFormatting>
  <conditionalFormatting sqref="T279">
    <cfRule type="cellIs" dxfId="989" priority="1424" operator="equal">
      <formula>"false"</formula>
    </cfRule>
  </conditionalFormatting>
  <conditionalFormatting sqref="T279">
    <cfRule type="cellIs" dxfId="988" priority="1423" operator="equal">
      <formula>"false"</formula>
    </cfRule>
  </conditionalFormatting>
  <conditionalFormatting sqref="T279">
    <cfRule type="cellIs" dxfId="987" priority="1421" operator="equal">
      <formula>"true"</formula>
    </cfRule>
    <cfRule type="cellIs" dxfId="986" priority="1422" operator="equal">
      <formula>"true"</formula>
    </cfRule>
  </conditionalFormatting>
  <conditionalFormatting sqref="I273:I280">
    <cfRule type="cellIs" dxfId="985" priority="1420" operator="equal">
      <formula>"false"</formula>
    </cfRule>
  </conditionalFormatting>
  <conditionalFormatting sqref="I273:I280">
    <cfRule type="cellIs" dxfId="984" priority="1419" operator="equal">
      <formula>"false"</formula>
    </cfRule>
  </conditionalFormatting>
  <conditionalFormatting sqref="I273:I280">
    <cfRule type="cellIs" dxfId="983" priority="1417" operator="equal">
      <formula>"true"</formula>
    </cfRule>
    <cfRule type="cellIs" dxfId="982" priority="1418" operator="equal">
      <formula>"true"</formula>
    </cfRule>
  </conditionalFormatting>
  <conditionalFormatting sqref="I272">
    <cfRule type="cellIs" dxfId="981" priority="1416" operator="equal">
      <formula>"false"</formula>
    </cfRule>
  </conditionalFormatting>
  <conditionalFormatting sqref="I272">
    <cfRule type="cellIs" dxfId="980" priority="1415" operator="equal">
      <formula>"false"</formula>
    </cfRule>
  </conditionalFormatting>
  <conditionalFormatting sqref="I272">
    <cfRule type="cellIs" dxfId="979" priority="1413" operator="equal">
      <formula>"true"</formula>
    </cfRule>
    <cfRule type="cellIs" dxfId="978" priority="1414" operator="equal">
      <formula>"true"</formula>
    </cfRule>
  </conditionalFormatting>
  <conditionalFormatting sqref="L272">
    <cfRule type="cellIs" dxfId="977" priority="1412" operator="equal">
      <formula>"false"</formula>
    </cfRule>
  </conditionalFormatting>
  <conditionalFormatting sqref="L272">
    <cfRule type="cellIs" dxfId="976" priority="1411" operator="equal">
      <formula>"false"</formula>
    </cfRule>
  </conditionalFormatting>
  <conditionalFormatting sqref="L272">
    <cfRule type="cellIs" dxfId="975" priority="1409" operator="equal">
      <formula>"true"</formula>
    </cfRule>
    <cfRule type="cellIs" dxfId="974" priority="1410" operator="equal">
      <formula>"true"</formula>
    </cfRule>
  </conditionalFormatting>
  <conditionalFormatting sqref="I305:L315 J297:L304 J296:K296">
    <cfRule type="cellIs" dxfId="973" priority="1408" operator="equal">
      <formula>"false"</formula>
    </cfRule>
  </conditionalFormatting>
  <conditionalFormatting sqref="I305:L315 J297:L304 J296:K296">
    <cfRule type="cellIs" dxfId="972" priority="1407" operator="equal">
      <formula>"false"</formula>
    </cfRule>
  </conditionalFormatting>
  <conditionalFormatting sqref="I305:L315 J297:L304 J296:K296">
    <cfRule type="cellIs" dxfId="971" priority="1405" operator="equal">
      <formula>"true"</formula>
    </cfRule>
    <cfRule type="cellIs" dxfId="970" priority="1406" operator="equal">
      <formula>"true"</formula>
    </cfRule>
  </conditionalFormatting>
  <conditionalFormatting sqref="T296:V302 T304:V315 V303">
    <cfRule type="cellIs" dxfId="969" priority="1404" operator="equal">
      <formula>"false"</formula>
    </cfRule>
  </conditionalFormatting>
  <conditionalFormatting sqref="T296:V302 T304:V315 V303">
    <cfRule type="cellIs" dxfId="968" priority="1403" operator="equal">
      <formula>"false"</formula>
    </cfRule>
  </conditionalFormatting>
  <conditionalFormatting sqref="T296:V302 T304:V315 V303">
    <cfRule type="cellIs" dxfId="967" priority="1401" operator="equal">
      <formula>"true"</formula>
    </cfRule>
    <cfRule type="cellIs" dxfId="966" priority="1402" operator="equal">
      <formula>"true"</formula>
    </cfRule>
  </conditionalFormatting>
  <conditionalFormatting sqref="U303">
    <cfRule type="cellIs" dxfId="965" priority="1400" operator="equal">
      <formula>"false"</formula>
    </cfRule>
  </conditionalFormatting>
  <conditionalFormatting sqref="U303">
    <cfRule type="cellIs" dxfId="964" priority="1399" operator="equal">
      <formula>"false"</formula>
    </cfRule>
  </conditionalFormatting>
  <conditionalFormatting sqref="U303">
    <cfRule type="cellIs" dxfId="963" priority="1397" operator="equal">
      <formula>"true"</formula>
    </cfRule>
    <cfRule type="cellIs" dxfId="962" priority="1398" operator="equal">
      <formula>"true"</formula>
    </cfRule>
  </conditionalFormatting>
  <conditionalFormatting sqref="J296:K296">
    <cfRule type="cellIs" dxfId="961" priority="1396" operator="equal">
      <formula>"false"</formula>
    </cfRule>
  </conditionalFormatting>
  <conditionalFormatting sqref="J296:K296">
    <cfRule type="cellIs" dxfId="960" priority="1395" operator="equal">
      <formula>"false"</formula>
    </cfRule>
  </conditionalFormatting>
  <conditionalFormatting sqref="J296:K296">
    <cfRule type="cellIs" dxfId="959" priority="1393" operator="equal">
      <formula>"true"</formula>
    </cfRule>
    <cfRule type="cellIs" dxfId="958" priority="1394" operator="equal">
      <formula>"true"</formula>
    </cfRule>
  </conditionalFormatting>
  <conditionalFormatting sqref="K297">
    <cfRule type="cellIs" dxfId="957" priority="1392" operator="equal">
      <formula>"false"</formula>
    </cfRule>
  </conditionalFormatting>
  <conditionalFormatting sqref="K297">
    <cfRule type="cellIs" dxfId="956" priority="1391" operator="equal">
      <formula>"false"</formula>
    </cfRule>
  </conditionalFormatting>
  <conditionalFormatting sqref="K297">
    <cfRule type="cellIs" dxfId="955" priority="1389" operator="equal">
      <formula>"true"</formula>
    </cfRule>
    <cfRule type="cellIs" dxfId="954" priority="1390" operator="equal">
      <formula>"true"</formula>
    </cfRule>
  </conditionalFormatting>
  <conditionalFormatting sqref="K298:K300">
    <cfRule type="cellIs" dxfId="953" priority="1388" operator="equal">
      <formula>"false"</formula>
    </cfRule>
  </conditionalFormatting>
  <conditionalFormatting sqref="K298:K300">
    <cfRule type="cellIs" dxfId="952" priority="1387" operator="equal">
      <formula>"false"</formula>
    </cfRule>
  </conditionalFormatting>
  <conditionalFormatting sqref="K298:K300">
    <cfRule type="cellIs" dxfId="951" priority="1385" operator="equal">
      <formula>"true"</formula>
    </cfRule>
    <cfRule type="cellIs" dxfId="950" priority="1386" operator="equal">
      <formula>"true"</formula>
    </cfRule>
  </conditionalFormatting>
  <conditionalFormatting sqref="K302:K304">
    <cfRule type="cellIs" dxfId="949" priority="1384" operator="equal">
      <formula>"false"</formula>
    </cfRule>
  </conditionalFormatting>
  <conditionalFormatting sqref="K302:K304">
    <cfRule type="cellIs" dxfId="948" priority="1383" operator="equal">
      <formula>"false"</formula>
    </cfRule>
  </conditionalFormatting>
  <conditionalFormatting sqref="K302:K304">
    <cfRule type="cellIs" dxfId="947" priority="1381" operator="equal">
      <formula>"true"</formula>
    </cfRule>
    <cfRule type="cellIs" dxfId="946" priority="1382" operator="equal">
      <formula>"true"</formula>
    </cfRule>
  </conditionalFormatting>
  <conditionalFormatting sqref="T303">
    <cfRule type="cellIs" dxfId="945" priority="1380" operator="equal">
      <formula>"false"</formula>
    </cfRule>
  </conditionalFormatting>
  <conditionalFormatting sqref="T303">
    <cfRule type="cellIs" dxfId="944" priority="1379" operator="equal">
      <formula>"false"</formula>
    </cfRule>
  </conditionalFormatting>
  <conditionalFormatting sqref="T303">
    <cfRule type="cellIs" dxfId="943" priority="1377" operator="equal">
      <formula>"true"</formula>
    </cfRule>
    <cfRule type="cellIs" dxfId="942" priority="1378" operator="equal">
      <formula>"true"</formula>
    </cfRule>
  </conditionalFormatting>
  <conditionalFormatting sqref="I297:I304">
    <cfRule type="cellIs" dxfId="941" priority="1376" operator="equal">
      <formula>"false"</formula>
    </cfRule>
  </conditionalFormatting>
  <conditionalFormatting sqref="I297:I304">
    <cfRule type="cellIs" dxfId="940" priority="1375" operator="equal">
      <formula>"false"</formula>
    </cfRule>
  </conditionalFormatting>
  <conditionalFormatting sqref="I297:I304">
    <cfRule type="cellIs" dxfId="939" priority="1373" operator="equal">
      <formula>"true"</formula>
    </cfRule>
    <cfRule type="cellIs" dxfId="938" priority="1374" operator="equal">
      <formula>"true"</formula>
    </cfRule>
  </conditionalFormatting>
  <conditionalFormatting sqref="I296">
    <cfRule type="cellIs" dxfId="937" priority="1372" operator="equal">
      <formula>"false"</formula>
    </cfRule>
  </conditionalFormatting>
  <conditionalFormatting sqref="I296">
    <cfRule type="cellIs" dxfId="936" priority="1371" operator="equal">
      <formula>"false"</formula>
    </cfRule>
  </conditionalFormatting>
  <conditionalFormatting sqref="I296">
    <cfRule type="cellIs" dxfId="935" priority="1369" operator="equal">
      <formula>"true"</formula>
    </cfRule>
    <cfRule type="cellIs" dxfId="934" priority="1370" operator="equal">
      <formula>"true"</formula>
    </cfRule>
  </conditionalFormatting>
  <conditionalFormatting sqref="L296">
    <cfRule type="cellIs" dxfId="933" priority="1368" operator="equal">
      <formula>"false"</formula>
    </cfRule>
  </conditionalFormatting>
  <conditionalFormatting sqref="L296">
    <cfRule type="cellIs" dxfId="932" priority="1367" operator="equal">
      <formula>"false"</formula>
    </cfRule>
  </conditionalFormatting>
  <conditionalFormatting sqref="L296">
    <cfRule type="cellIs" dxfId="931" priority="1365" operator="equal">
      <formula>"true"</formula>
    </cfRule>
    <cfRule type="cellIs" dxfId="930" priority="1366" operator="equal">
      <formula>"true"</formula>
    </cfRule>
  </conditionalFormatting>
  <conditionalFormatting sqref="I329:L339 J321:L328 J320:K320">
    <cfRule type="cellIs" dxfId="929" priority="1364" operator="equal">
      <formula>"false"</formula>
    </cfRule>
  </conditionalFormatting>
  <conditionalFormatting sqref="I329:L339 J321:L328 J320:K320">
    <cfRule type="cellIs" dxfId="928" priority="1363" operator="equal">
      <formula>"false"</formula>
    </cfRule>
  </conditionalFormatting>
  <conditionalFormatting sqref="I329:L339 J321:L328 J320:K320">
    <cfRule type="cellIs" dxfId="927" priority="1361" operator="equal">
      <formula>"true"</formula>
    </cfRule>
    <cfRule type="cellIs" dxfId="926" priority="1362" operator="equal">
      <formula>"true"</formula>
    </cfRule>
  </conditionalFormatting>
  <conditionalFormatting sqref="T320:V326 T328:V339 V327">
    <cfRule type="cellIs" dxfId="925" priority="1360" operator="equal">
      <formula>"false"</formula>
    </cfRule>
  </conditionalFormatting>
  <conditionalFormatting sqref="T320:V326 T328:V339 V327">
    <cfRule type="cellIs" dxfId="924" priority="1359" operator="equal">
      <formula>"false"</formula>
    </cfRule>
  </conditionalFormatting>
  <conditionalFormatting sqref="T320:V326 T328:V339 V327">
    <cfRule type="cellIs" dxfId="923" priority="1357" operator="equal">
      <formula>"true"</formula>
    </cfRule>
    <cfRule type="cellIs" dxfId="922" priority="1358" operator="equal">
      <formula>"true"</formula>
    </cfRule>
  </conditionalFormatting>
  <conditionalFormatting sqref="U327">
    <cfRule type="cellIs" dxfId="921" priority="1356" operator="equal">
      <formula>"false"</formula>
    </cfRule>
  </conditionalFormatting>
  <conditionalFormatting sqref="U327">
    <cfRule type="cellIs" dxfId="920" priority="1355" operator="equal">
      <formula>"false"</formula>
    </cfRule>
  </conditionalFormatting>
  <conditionalFormatting sqref="U327">
    <cfRule type="cellIs" dxfId="919" priority="1353" operator="equal">
      <formula>"true"</formula>
    </cfRule>
    <cfRule type="cellIs" dxfId="918" priority="1354" operator="equal">
      <formula>"true"</formula>
    </cfRule>
  </conditionalFormatting>
  <conditionalFormatting sqref="J320:K320">
    <cfRule type="cellIs" dxfId="917" priority="1352" operator="equal">
      <formula>"false"</formula>
    </cfRule>
  </conditionalFormatting>
  <conditionalFormatting sqref="J320:K320">
    <cfRule type="cellIs" dxfId="916" priority="1351" operator="equal">
      <formula>"false"</formula>
    </cfRule>
  </conditionalFormatting>
  <conditionalFormatting sqref="J320:K320">
    <cfRule type="cellIs" dxfId="915" priority="1349" operator="equal">
      <formula>"true"</formula>
    </cfRule>
    <cfRule type="cellIs" dxfId="914" priority="1350" operator="equal">
      <formula>"true"</formula>
    </cfRule>
  </conditionalFormatting>
  <conditionalFormatting sqref="K321">
    <cfRule type="cellIs" dxfId="913" priority="1348" operator="equal">
      <formula>"false"</formula>
    </cfRule>
  </conditionalFormatting>
  <conditionalFormatting sqref="K321">
    <cfRule type="cellIs" dxfId="912" priority="1347" operator="equal">
      <formula>"false"</formula>
    </cfRule>
  </conditionalFormatting>
  <conditionalFormatting sqref="K321">
    <cfRule type="cellIs" dxfId="911" priority="1345" operator="equal">
      <formula>"true"</formula>
    </cfRule>
    <cfRule type="cellIs" dxfId="910" priority="1346" operator="equal">
      <formula>"true"</formula>
    </cfRule>
  </conditionalFormatting>
  <conditionalFormatting sqref="K322:K324">
    <cfRule type="cellIs" dxfId="909" priority="1344" operator="equal">
      <formula>"false"</formula>
    </cfRule>
  </conditionalFormatting>
  <conditionalFormatting sqref="K322:K324">
    <cfRule type="cellIs" dxfId="908" priority="1343" operator="equal">
      <formula>"false"</formula>
    </cfRule>
  </conditionalFormatting>
  <conditionalFormatting sqref="K322:K324">
    <cfRule type="cellIs" dxfId="907" priority="1341" operator="equal">
      <formula>"true"</formula>
    </cfRule>
    <cfRule type="cellIs" dxfId="906" priority="1342" operator="equal">
      <formula>"true"</formula>
    </cfRule>
  </conditionalFormatting>
  <conditionalFormatting sqref="K326:K328">
    <cfRule type="cellIs" dxfId="905" priority="1340" operator="equal">
      <formula>"false"</formula>
    </cfRule>
  </conditionalFormatting>
  <conditionalFormatting sqref="K326:K328">
    <cfRule type="cellIs" dxfId="904" priority="1339" operator="equal">
      <formula>"false"</formula>
    </cfRule>
  </conditionalFormatting>
  <conditionalFormatting sqref="K326:K328">
    <cfRule type="cellIs" dxfId="903" priority="1337" operator="equal">
      <formula>"true"</formula>
    </cfRule>
    <cfRule type="cellIs" dxfId="902" priority="1338" operator="equal">
      <formula>"true"</formula>
    </cfRule>
  </conditionalFormatting>
  <conditionalFormatting sqref="T327">
    <cfRule type="cellIs" dxfId="901" priority="1336" operator="equal">
      <formula>"false"</formula>
    </cfRule>
  </conditionalFormatting>
  <conditionalFormatting sqref="T327">
    <cfRule type="cellIs" dxfId="900" priority="1335" operator="equal">
      <formula>"false"</formula>
    </cfRule>
  </conditionalFormatting>
  <conditionalFormatting sqref="T327">
    <cfRule type="cellIs" dxfId="899" priority="1333" operator="equal">
      <formula>"true"</formula>
    </cfRule>
    <cfRule type="cellIs" dxfId="898" priority="1334" operator="equal">
      <formula>"true"</formula>
    </cfRule>
  </conditionalFormatting>
  <conditionalFormatting sqref="I321:I328">
    <cfRule type="cellIs" dxfId="897" priority="1332" operator="equal">
      <formula>"false"</formula>
    </cfRule>
  </conditionalFormatting>
  <conditionalFormatting sqref="I321:I328">
    <cfRule type="cellIs" dxfId="896" priority="1331" operator="equal">
      <formula>"false"</formula>
    </cfRule>
  </conditionalFormatting>
  <conditionalFormatting sqref="I321:I328">
    <cfRule type="cellIs" dxfId="895" priority="1329" operator="equal">
      <formula>"true"</formula>
    </cfRule>
    <cfRule type="cellIs" dxfId="894" priority="1330" operator="equal">
      <formula>"true"</formula>
    </cfRule>
  </conditionalFormatting>
  <conditionalFormatting sqref="I320">
    <cfRule type="cellIs" dxfId="893" priority="1328" operator="equal">
      <formula>"false"</formula>
    </cfRule>
  </conditionalFormatting>
  <conditionalFormatting sqref="I320">
    <cfRule type="cellIs" dxfId="892" priority="1327" operator="equal">
      <formula>"false"</formula>
    </cfRule>
  </conditionalFormatting>
  <conditionalFormatting sqref="I320">
    <cfRule type="cellIs" dxfId="891" priority="1325" operator="equal">
      <formula>"true"</formula>
    </cfRule>
    <cfRule type="cellIs" dxfId="890" priority="1326" operator="equal">
      <formula>"true"</formula>
    </cfRule>
  </conditionalFormatting>
  <conditionalFormatting sqref="L320">
    <cfRule type="cellIs" dxfId="889" priority="1324" operator="equal">
      <formula>"false"</formula>
    </cfRule>
  </conditionalFormatting>
  <conditionalFormatting sqref="L320">
    <cfRule type="cellIs" dxfId="888" priority="1323" operator="equal">
      <formula>"false"</formula>
    </cfRule>
  </conditionalFormatting>
  <conditionalFormatting sqref="L320">
    <cfRule type="cellIs" dxfId="887" priority="1321" operator="equal">
      <formula>"true"</formula>
    </cfRule>
    <cfRule type="cellIs" dxfId="886" priority="1322" operator="equal">
      <formula>"true"</formula>
    </cfRule>
  </conditionalFormatting>
  <conditionalFormatting sqref="I353:L363 J345:L352 J344:K344">
    <cfRule type="cellIs" dxfId="885" priority="1320" operator="equal">
      <formula>"false"</formula>
    </cfRule>
  </conditionalFormatting>
  <conditionalFormatting sqref="I353:L363 J345:L352 J344:K344">
    <cfRule type="cellIs" dxfId="884" priority="1319" operator="equal">
      <formula>"false"</formula>
    </cfRule>
  </conditionalFormatting>
  <conditionalFormatting sqref="I353:L363 J345:L352 J344:K344">
    <cfRule type="cellIs" dxfId="883" priority="1317" operator="equal">
      <formula>"true"</formula>
    </cfRule>
    <cfRule type="cellIs" dxfId="882" priority="1318" operator="equal">
      <formula>"true"</formula>
    </cfRule>
  </conditionalFormatting>
  <conditionalFormatting sqref="T344:V350 T352:V363 V351">
    <cfRule type="cellIs" dxfId="881" priority="1316" operator="equal">
      <formula>"false"</formula>
    </cfRule>
  </conditionalFormatting>
  <conditionalFormatting sqref="T344:V350 T352:V363 V351">
    <cfRule type="cellIs" dxfId="880" priority="1315" operator="equal">
      <formula>"false"</formula>
    </cfRule>
  </conditionalFormatting>
  <conditionalFormatting sqref="T344:V350 T352:V363 V351">
    <cfRule type="cellIs" dxfId="879" priority="1313" operator="equal">
      <formula>"true"</formula>
    </cfRule>
    <cfRule type="cellIs" dxfId="878" priority="1314" operator="equal">
      <formula>"true"</formula>
    </cfRule>
  </conditionalFormatting>
  <conditionalFormatting sqref="U351">
    <cfRule type="cellIs" dxfId="877" priority="1312" operator="equal">
      <formula>"false"</formula>
    </cfRule>
  </conditionalFormatting>
  <conditionalFormatting sqref="U351">
    <cfRule type="cellIs" dxfId="876" priority="1311" operator="equal">
      <formula>"false"</formula>
    </cfRule>
  </conditionalFormatting>
  <conditionalFormatting sqref="U351">
    <cfRule type="cellIs" dxfId="875" priority="1309" operator="equal">
      <formula>"true"</formula>
    </cfRule>
    <cfRule type="cellIs" dxfId="874" priority="1310" operator="equal">
      <formula>"true"</formula>
    </cfRule>
  </conditionalFormatting>
  <conditionalFormatting sqref="J344:K344">
    <cfRule type="cellIs" dxfId="873" priority="1308" operator="equal">
      <formula>"false"</formula>
    </cfRule>
  </conditionalFormatting>
  <conditionalFormatting sqref="J344:K344">
    <cfRule type="cellIs" dxfId="872" priority="1307" operator="equal">
      <formula>"false"</formula>
    </cfRule>
  </conditionalFormatting>
  <conditionalFormatting sqref="J344:K344">
    <cfRule type="cellIs" dxfId="871" priority="1305" operator="equal">
      <formula>"true"</formula>
    </cfRule>
    <cfRule type="cellIs" dxfId="870" priority="1306" operator="equal">
      <formula>"true"</formula>
    </cfRule>
  </conditionalFormatting>
  <conditionalFormatting sqref="K345">
    <cfRule type="cellIs" dxfId="869" priority="1304" operator="equal">
      <formula>"false"</formula>
    </cfRule>
  </conditionalFormatting>
  <conditionalFormatting sqref="K345">
    <cfRule type="cellIs" dxfId="868" priority="1303" operator="equal">
      <formula>"false"</formula>
    </cfRule>
  </conditionalFormatting>
  <conditionalFormatting sqref="K345">
    <cfRule type="cellIs" dxfId="867" priority="1301" operator="equal">
      <formula>"true"</formula>
    </cfRule>
    <cfRule type="cellIs" dxfId="866" priority="1302" operator="equal">
      <formula>"true"</formula>
    </cfRule>
  </conditionalFormatting>
  <conditionalFormatting sqref="K346:K348">
    <cfRule type="cellIs" dxfId="865" priority="1300" operator="equal">
      <formula>"false"</formula>
    </cfRule>
  </conditionalFormatting>
  <conditionalFormatting sqref="K346:K348">
    <cfRule type="cellIs" dxfId="864" priority="1299" operator="equal">
      <formula>"false"</formula>
    </cfRule>
  </conditionalFormatting>
  <conditionalFormatting sqref="K346:K348">
    <cfRule type="cellIs" dxfId="863" priority="1297" operator="equal">
      <formula>"true"</formula>
    </cfRule>
    <cfRule type="cellIs" dxfId="862" priority="1298" operator="equal">
      <formula>"true"</formula>
    </cfRule>
  </conditionalFormatting>
  <conditionalFormatting sqref="K350:K352">
    <cfRule type="cellIs" dxfId="861" priority="1296" operator="equal">
      <formula>"false"</formula>
    </cfRule>
  </conditionalFormatting>
  <conditionalFormatting sqref="K350:K352">
    <cfRule type="cellIs" dxfId="860" priority="1295" operator="equal">
      <formula>"false"</formula>
    </cfRule>
  </conditionalFormatting>
  <conditionalFormatting sqref="K350:K352">
    <cfRule type="cellIs" dxfId="859" priority="1293" operator="equal">
      <formula>"true"</formula>
    </cfRule>
    <cfRule type="cellIs" dxfId="858" priority="1294" operator="equal">
      <formula>"true"</formula>
    </cfRule>
  </conditionalFormatting>
  <conditionalFormatting sqref="T351">
    <cfRule type="cellIs" dxfId="857" priority="1292" operator="equal">
      <formula>"false"</formula>
    </cfRule>
  </conditionalFormatting>
  <conditionalFormatting sqref="T351">
    <cfRule type="cellIs" dxfId="856" priority="1291" operator="equal">
      <formula>"false"</formula>
    </cfRule>
  </conditionalFormatting>
  <conditionalFormatting sqref="T351">
    <cfRule type="cellIs" dxfId="855" priority="1289" operator="equal">
      <formula>"true"</formula>
    </cfRule>
    <cfRule type="cellIs" dxfId="854" priority="1290" operator="equal">
      <formula>"true"</formula>
    </cfRule>
  </conditionalFormatting>
  <conditionalFormatting sqref="I345:I352">
    <cfRule type="cellIs" dxfId="853" priority="1288" operator="equal">
      <formula>"false"</formula>
    </cfRule>
  </conditionalFormatting>
  <conditionalFormatting sqref="I345:I352">
    <cfRule type="cellIs" dxfId="852" priority="1287" operator="equal">
      <formula>"false"</formula>
    </cfRule>
  </conditionalFormatting>
  <conditionalFormatting sqref="I345:I352">
    <cfRule type="cellIs" dxfId="851" priority="1285" operator="equal">
      <formula>"true"</formula>
    </cfRule>
    <cfRule type="cellIs" dxfId="850" priority="1286" operator="equal">
      <formula>"true"</formula>
    </cfRule>
  </conditionalFormatting>
  <conditionalFormatting sqref="I344">
    <cfRule type="cellIs" dxfId="849" priority="1284" operator="equal">
      <formula>"false"</formula>
    </cfRule>
  </conditionalFormatting>
  <conditionalFormatting sqref="I344">
    <cfRule type="cellIs" dxfId="848" priority="1283" operator="equal">
      <formula>"false"</formula>
    </cfRule>
  </conditionalFormatting>
  <conditionalFormatting sqref="I344">
    <cfRule type="cellIs" dxfId="847" priority="1281" operator="equal">
      <formula>"true"</formula>
    </cfRule>
    <cfRule type="cellIs" dxfId="846" priority="1282" operator="equal">
      <formula>"true"</formula>
    </cfRule>
  </conditionalFormatting>
  <conditionalFormatting sqref="L344">
    <cfRule type="cellIs" dxfId="845" priority="1280" operator="equal">
      <formula>"false"</formula>
    </cfRule>
  </conditionalFormatting>
  <conditionalFormatting sqref="L344">
    <cfRule type="cellIs" dxfId="844" priority="1279" operator="equal">
      <formula>"false"</formula>
    </cfRule>
  </conditionalFormatting>
  <conditionalFormatting sqref="L344">
    <cfRule type="cellIs" dxfId="843" priority="1277" operator="equal">
      <formula>"true"</formula>
    </cfRule>
    <cfRule type="cellIs" dxfId="842" priority="1278" operator="equal">
      <formula>"true"</formula>
    </cfRule>
  </conditionalFormatting>
  <conditionalFormatting sqref="I377:L387 J369:L376 J368:K368">
    <cfRule type="cellIs" dxfId="841" priority="1188" operator="equal">
      <formula>"false"</formula>
    </cfRule>
  </conditionalFormatting>
  <conditionalFormatting sqref="I377:L387 J369:L376 J368:K368">
    <cfRule type="cellIs" dxfId="840" priority="1187" operator="equal">
      <formula>"false"</formula>
    </cfRule>
  </conditionalFormatting>
  <conditionalFormatting sqref="I377:L387 J369:L376 J368:K368">
    <cfRule type="cellIs" dxfId="839" priority="1185" operator="equal">
      <formula>"true"</formula>
    </cfRule>
    <cfRule type="cellIs" dxfId="838" priority="1186" operator="equal">
      <formula>"true"</formula>
    </cfRule>
  </conditionalFormatting>
  <conditionalFormatting sqref="T368:V374 T376:V387 V375">
    <cfRule type="cellIs" dxfId="837" priority="1184" operator="equal">
      <formula>"false"</formula>
    </cfRule>
  </conditionalFormatting>
  <conditionalFormatting sqref="T368:V374 T376:V387 V375">
    <cfRule type="cellIs" dxfId="836" priority="1183" operator="equal">
      <formula>"false"</formula>
    </cfRule>
  </conditionalFormatting>
  <conditionalFormatting sqref="T368:V374 T376:V387 V375">
    <cfRule type="cellIs" dxfId="835" priority="1181" operator="equal">
      <formula>"true"</formula>
    </cfRule>
    <cfRule type="cellIs" dxfId="834" priority="1182" operator="equal">
      <formula>"true"</formula>
    </cfRule>
  </conditionalFormatting>
  <conditionalFormatting sqref="U375">
    <cfRule type="cellIs" dxfId="833" priority="1180" operator="equal">
      <formula>"false"</formula>
    </cfRule>
  </conditionalFormatting>
  <conditionalFormatting sqref="U375">
    <cfRule type="cellIs" dxfId="832" priority="1179" operator="equal">
      <formula>"false"</formula>
    </cfRule>
  </conditionalFormatting>
  <conditionalFormatting sqref="U375">
    <cfRule type="cellIs" dxfId="831" priority="1177" operator="equal">
      <formula>"true"</formula>
    </cfRule>
    <cfRule type="cellIs" dxfId="830" priority="1178" operator="equal">
      <formula>"true"</formula>
    </cfRule>
  </conditionalFormatting>
  <conditionalFormatting sqref="J368:K368">
    <cfRule type="cellIs" dxfId="829" priority="1176" operator="equal">
      <formula>"false"</formula>
    </cfRule>
  </conditionalFormatting>
  <conditionalFormatting sqref="J368:K368">
    <cfRule type="cellIs" dxfId="828" priority="1175" operator="equal">
      <formula>"false"</formula>
    </cfRule>
  </conditionalFormatting>
  <conditionalFormatting sqref="J368:K368">
    <cfRule type="cellIs" dxfId="827" priority="1173" operator="equal">
      <formula>"true"</formula>
    </cfRule>
    <cfRule type="cellIs" dxfId="826" priority="1174" operator="equal">
      <formula>"true"</formula>
    </cfRule>
  </conditionalFormatting>
  <conditionalFormatting sqref="K369">
    <cfRule type="cellIs" dxfId="825" priority="1172" operator="equal">
      <formula>"false"</formula>
    </cfRule>
  </conditionalFormatting>
  <conditionalFormatting sqref="K369">
    <cfRule type="cellIs" dxfId="824" priority="1171" operator="equal">
      <formula>"false"</formula>
    </cfRule>
  </conditionalFormatting>
  <conditionalFormatting sqref="K369">
    <cfRule type="cellIs" dxfId="823" priority="1169" operator="equal">
      <formula>"true"</formula>
    </cfRule>
    <cfRule type="cellIs" dxfId="822" priority="1170" operator="equal">
      <formula>"true"</formula>
    </cfRule>
  </conditionalFormatting>
  <conditionalFormatting sqref="K370:K372">
    <cfRule type="cellIs" dxfId="821" priority="1168" operator="equal">
      <formula>"false"</formula>
    </cfRule>
  </conditionalFormatting>
  <conditionalFormatting sqref="K370:K372">
    <cfRule type="cellIs" dxfId="820" priority="1167" operator="equal">
      <formula>"false"</formula>
    </cfRule>
  </conditionalFormatting>
  <conditionalFormatting sqref="K370:K372">
    <cfRule type="cellIs" dxfId="819" priority="1165" operator="equal">
      <formula>"true"</formula>
    </cfRule>
    <cfRule type="cellIs" dxfId="818" priority="1166" operator="equal">
      <formula>"true"</formula>
    </cfRule>
  </conditionalFormatting>
  <conditionalFormatting sqref="K374:K376">
    <cfRule type="cellIs" dxfId="817" priority="1164" operator="equal">
      <formula>"false"</formula>
    </cfRule>
  </conditionalFormatting>
  <conditionalFormatting sqref="K374:K376">
    <cfRule type="cellIs" dxfId="816" priority="1163" operator="equal">
      <formula>"false"</formula>
    </cfRule>
  </conditionalFormatting>
  <conditionalFormatting sqref="K374:K376">
    <cfRule type="cellIs" dxfId="815" priority="1161" operator="equal">
      <formula>"true"</formula>
    </cfRule>
    <cfRule type="cellIs" dxfId="814" priority="1162" operator="equal">
      <formula>"true"</formula>
    </cfRule>
  </conditionalFormatting>
  <conditionalFormatting sqref="T375">
    <cfRule type="cellIs" dxfId="813" priority="1160" operator="equal">
      <formula>"false"</formula>
    </cfRule>
  </conditionalFormatting>
  <conditionalFormatting sqref="T375">
    <cfRule type="cellIs" dxfId="812" priority="1159" operator="equal">
      <formula>"false"</formula>
    </cfRule>
  </conditionalFormatting>
  <conditionalFormatting sqref="T375">
    <cfRule type="cellIs" dxfId="811" priority="1157" operator="equal">
      <formula>"true"</formula>
    </cfRule>
    <cfRule type="cellIs" dxfId="810" priority="1158" operator="equal">
      <formula>"true"</formula>
    </cfRule>
  </conditionalFormatting>
  <conditionalFormatting sqref="I369:I376">
    <cfRule type="cellIs" dxfId="809" priority="1156" operator="equal">
      <formula>"false"</formula>
    </cfRule>
  </conditionalFormatting>
  <conditionalFormatting sqref="I369:I376">
    <cfRule type="cellIs" dxfId="808" priority="1155" operator="equal">
      <formula>"false"</formula>
    </cfRule>
  </conditionalFormatting>
  <conditionalFormatting sqref="I369:I376">
    <cfRule type="cellIs" dxfId="807" priority="1153" operator="equal">
      <formula>"true"</formula>
    </cfRule>
    <cfRule type="cellIs" dxfId="806" priority="1154" operator="equal">
      <formula>"true"</formula>
    </cfRule>
  </conditionalFormatting>
  <conditionalFormatting sqref="I368">
    <cfRule type="cellIs" dxfId="805" priority="1152" operator="equal">
      <formula>"false"</formula>
    </cfRule>
  </conditionalFormatting>
  <conditionalFormatting sqref="I368">
    <cfRule type="cellIs" dxfId="804" priority="1151" operator="equal">
      <formula>"false"</formula>
    </cfRule>
  </conditionalFormatting>
  <conditionalFormatting sqref="I368">
    <cfRule type="cellIs" dxfId="803" priority="1149" operator="equal">
      <formula>"true"</formula>
    </cfRule>
    <cfRule type="cellIs" dxfId="802" priority="1150" operator="equal">
      <formula>"true"</formula>
    </cfRule>
  </conditionalFormatting>
  <conditionalFormatting sqref="L368">
    <cfRule type="cellIs" dxfId="801" priority="1148" operator="equal">
      <formula>"false"</formula>
    </cfRule>
  </conditionalFormatting>
  <conditionalFormatting sqref="L368">
    <cfRule type="cellIs" dxfId="800" priority="1147" operator="equal">
      <formula>"false"</formula>
    </cfRule>
  </conditionalFormatting>
  <conditionalFormatting sqref="L368">
    <cfRule type="cellIs" dxfId="799" priority="1145" operator="equal">
      <formula>"true"</formula>
    </cfRule>
    <cfRule type="cellIs" dxfId="798" priority="1146" operator="equal">
      <formula>"true"</formula>
    </cfRule>
  </conditionalFormatting>
  <conditionalFormatting sqref="I401:L411 J393:L400 J392:K392">
    <cfRule type="cellIs" dxfId="797" priority="1144" operator="equal">
      <formula>"false"</formula>
    </cfRule>
  </conditionalFormatting>
  <conditionalFormatting sqref="I401:L411 J393:L400 J392:K392">
    <cfRule type="cellIs" dxfId="796" priority="1143" operator="equal">
      <formula>"false"</formula>
    </cfRule>
  </conditionalFormatting>
  <conditionalFormatting sqref="I401:L411 J393:L400 J392:K392">
    <cfRule type="cellIs" dxfId="795" priority="1141" operator="equal">
      <formula>"true"</formula>
    </cfRule>
    <cfRule type="cellIs" dxfId="794" priority="1142" operator="equal">
      <formula>"true"</formula>
    </cfRule>
  </conditionalFormatting>
  <conditionalFormatting sqref="T392:V398 T400:V411 V399">
    <cfRule type="cellIs" dxfId="793" priority="1140" operator="equal">
      <formula>"false"</formula>
    </cfRule>
  </conditionalFormatting>
  <conditionalFormatting sqref="T392:V398 T400:V411 V399">
    <cfRule type="cellIs" dxfId="792" priority="1139" operator="equal">
      <formula>"false"</formula>
    </cfRule>
  </conditionalFormatting>
  <conditionalFormatting sqref="T392:V398 T400:V411 V399">
    <cfRule type="cellIs" dxfId="791" priority="1137" operator="equal">
      <formula>"true"</formula>
    </cfRule>
    <cfRule type="cellIs" dxfId="790" priority="1138" operator="equal">
      <formula>"true"</formula>
    </cfRule>
  </conditionalFormatting>
  <conditionalFormatting sqref="U399">
    <cfRule type="cellIs" dxfId="789" priority="1136" operator="equal">
      <formula>"false"</formula>
    </cfRule>
  </conditionalFormatting>
  <conditionalFormatting sqref="U399">
    <cfRule type="cellIs" dxfId="788" priority="1135" operator="equal">
      <formula>"false"</formula>
    </cfRule>
  </conditionalFormatting>
  <conditionalFormatting sqref="U399">
    <cfRule type="cellIs" dxfId="787" priority="1133" operator="equal">
      <formula>"true"</formula>
    </cfRule>
    <cfRule type="cellIs" dxfId="786" priority="1134" operator="equal">
      <formula>"true"</formula>
    </cfRule>
  </conditionalFormatting>
  <conditionalFormatting sqref="J392:K392">
    <cfRule type="cellIs" dxfId="785" priority="1132" operator="equal">
      <formula>"false"</formula>
    </cfRule>
  </conditionalFormatting>
  <conditionalFormatting sqref="J392:K392">
    <cfRule type="cellIs" dxfId="784" priority="1131" operator="equal">
      <formula>"false"</formula>
    </cfRule>
  </conditionalFormatting>
  <conditionalFormatting sqref="J392:K392">
    <cfRule type="cellIs" dxfId="783" priority="1129" operator="equal">
      <formula>"true"</formula>
    </cfRule>
    <cfRule type="cellIs" dxfId="782" priority="1130" operator="equal">
      <formula>"true"</formula>
    </cfRule>
  </conditionalFormatting>
  <conditionalFormatting sqref="K393">
    <cfRule type="cellIs" dxfId="781" priority="1128" operator="equal">
      <formula>"false"</formula>
    </cfRule>
  </conditionalFormatting>
  <conditionalFormatting sqref="K393">
    <cfRule type="cellIs" dxfId="780" priority="1127" operator="equal">
      <formula>"false"</formula>
    </cfRule>
  </conditionalFormatting>
  <conditionalFormatting sqref="K393">
    <cfRule type="cellIs" dxfId="779" priority="1125" operator="equal">
      <formula>"true"</formula>
    </cfRule>
    <cfRule type="cellIs" dxfId="778" priority="1126" operator="equal">
      <formula>"true"</formula>
    </cfRule>
  </conditionalFormatting>
  <conditionalFormatting sqref="K394:K396">
    <cfRule type="cellIs" dxfId="777" priority="1124" operator="equal">
      <formula>"false"</formula>
    </cfRule>
  </conditionalFormatting>
  <conditionalFormatting sqref="K394:K396">
    <cfRule type="cellIs" dxfId="776" priority="1123" operator="equal">
      <formula>"false"</formula>
    </cfRule>
  </conditionalFormatting>
  <conditionalFormatting sqref="K394:K396">
    <cfRule type="cellIs" dxfId="775" priority="1121" operator="equal">
      <formula>"true"</formula>
    </cfRule>
    <cfRule type="cellIs" dxfId="774" priority="1122" operator="equal">
      <formula>"true"</formula>
    </cfRule>
  </conditionalFormatting>
  <conditionalFormatting sqref="K398:K400">
    <cfRule type="cellIs" dxfId="773" priority="1120" operator="equal">
      <formula>"false"</formula>
    </cfRule>
  </conditionalFormatting>
  <conditionalFormatting sqref="K398:K400">
    <cfRule type="cellIs" dxfId="772" priority="1119" operator="equal">
      <formula>"false"</formula>
    </cfRule>
  </conditionalFormatting>
  <conditionalFormatting sqref="K398:K400">
    <cfRule type="cellIs" dxfId="771" priority="1117" operator="equal">
      <formula>"true"</formula>
    </cfRule>
    <cfRule type="cellIs" dxfId="770" priority="1118" operator="equal">
      <formula>"true"</formula>
    </cfRule>
  </conditionalFormatting>
  <conditionalFormatting sqref="T399">
    <cfRule type="cellIs" dxfId="769" priority="1116" operator="equal">
      <formula>"false"</formula>
    </cfRule>
  </conditionalFormatting>
  <conditionalFormatting sqref="T399">
    <cfRule type="cellIs" dxfId="768" priority="1115" operator="equal">
      <formula>"false"</formula>
    </cfRule>
  </conditionalFormatting>
  <conditionalFormatting sqref="T399">
    <cfRule type="cellIs" dxfId="767" priority="1113" operator="equal">
      <formula>"true"</formula>
    </cfRule>
    <cfRule type="cellIs" dxfId="766" priority="1114" operator="equal">
      <formula>"true"</formula>
    </cfRule>
  </conditionalFormatting>
  <conditionalFormatting sqref="I393:I400">
    <cfRule type="cellIs" dxfId="765" priority="1112" operator="equal">
      <formula>"false"</formula>
    </cfRule>
  </conditionalFormatting>
  <conditionalFormatting sqref="I393:I400">
    <cfRule type="cellIs" dxfId="764" priority="1111" operator="equal">
      <formula>"false"</formula>
    </cfRule>
  </conditionalFormatting>
  <conditionalFormatting sqref="I393:I400">
    <cfRule type="cellIs" dxfId="763" priority="1109" operator="equal">
      <formula>"true"</formula>
    </cfRule>
    <cfRule type="cellIs" dxfId="762" priority="1110" operator="equal">
      <formula>"true"</formula>
    </cfRule>
  </conditionalFormatting>
  <conditionalFormatting sqref="I392">
    <cfRule type="cellIs" dxfId="761" priority="1108" operator="equal">
      <formula>"false"</formula>
    </cfRule>
  </conditionalFormatting>
  <conditionalFormatting sqref="I392">
    <cfRule type="cellIs" dxfId="760" priority="1107" operator="equal">
      <formula>"false"</formula>
    </cfRule>
  </conditionalFormatting>
  <conditionalFormatting sqref="I392">
    <cfRule type="cellIs" dxfId="759" priority="1105" operator="equal">
      <formula>"true"</formula>
    </cfRule>
    <cfRule type="cellIs" dxfId="758" priority="1106" operator="equal">
      <formula>"true"</formula>
    </cfRule>
  </conditionalFormatting>
  <conditionalFormatting sqref="L392">
    <cfRule type="cellIs" dxfId="757" priority="1104" operator="equal">
      <formula>"false"</formula>
    </cfRule>
  </conditionalFormatting>
  <conditionalFormatting sqref="L392">
    <cfRule type="cellIs" dxfId="756" priority="1103" operator="equal">
      <formula>"false"</formula>
    </cfRule>
  </conditionalFormatting>
  <conditionalFormatting sqref="L392">
    <cfRule type="cellIs" dxfId="755" priority="1101" operator="equal">
      <formula>"true"</formula>
    </cfRule>
    <cfRule type="cellIs" dxfId="754" priority="1102" operator="equal">
      <formula>"true"</formula>
    </cfRule>
  </conditionalFormatting>
  <conditionalFormatting sqref="I425:L435 J417:L424 J416:K416">
    <cfRule type="cellIs" dxfId="753" priority="1100" operator="equal">
      <formula>"false"</formula>
    </cfRule>
  </conditionalFormatting>
  <conditionalFormatting sqref="I425:L435 J417:L424 J416:K416">
    <cfRule type="cellIs" dxfId="752" priority="1099" operator="equal">
      <formula>"false"</formula>
    </cfRule>
  </conditionalFormatting>
  <conditionalFormatting sqref="I425:L435 J417:L424 J416:K416">
    <cfRule type="cellIs" dxfId="751" priority="1097" operator="equal">
      <formula>"true"</formula>
    </cfRule>
    <cfRule type="cellIs" dxfId="750" priority="1098" operator="equal">
      <formula>"true"</formula>
    </cfRule>
  </conditionalFormatting>
  <conditionalFormatting sqref="T416:V422 T424:V435 V423">
    <cfRule type="cellIs" dxfId="749" priority="1096" operator="equal">
      <formula>"false"</formula>
    </cfRule>
  </conditionalFormatting>
  <conditionalFormatting sqref="T416:V422 T424:V435 V423">
    <cfRule type="cellIs" dxfId="748" priority="1095" operator="equal">
      <formula>"false"</formula>
    </cfRule>
  </conditionalFormatting>
  <conditionalFormatting sqref="T416:V422 T424:V435 V423">
    <cfRule type="cellIs" dxfId="747" priority="1093" operator="equal">
      <formula>"true"</formula>
    </cfRule>
    <cfRule type="cellIs" dxfId="746" priority="1094" operator="equal">
      <formula>"true"</formula>
    </cfRule>
  </conditionalFormatting>
  <conditionalFormatting sqref="U423">
    <cfRule type="cellIs" dxfId="745" priority="1092" operator="equal">
      <formula>"false"</formula>
    </cfRule>
  </conditionalFormatting>
  <conditionalFormatting sqref="U423">
    <cfRule type="cellIs" dxfId="744" priority="1091" operator="equal">
      <formula>"false"</formula>
    </cfRule>
  </conditionalFormatting>
  <conditionalFormatting sqref="U423">
    <cfRule type="cellIs" dxfId="743" priority="1089" operator="equal">
      <formula>"true"</formula>
    </cfRule>
    <cfRule type="cellIs" dxfId="742" priority="1090" operator="equal">
      <formula>"true"</formula>
    </cfRule>
  </conditionalFormatting>
  <conditionalFormatting sqref="J416:K416">
    <cfRule type="cellIs" dxfId="741" priority="1088" operator="equal">
      <formula>"false"</formula>
    </cfRule>
  </conditionalFormatting>
  <conditionalFormatting sqref="J416:K416">
    <cfRule type="cellIs" dxfId="740" priority="1087" operator="equal">
      <formula>"false"</formula>
    </cfRule>
  </conditionalFormatting>
  <conditionalFormatting sqref="J416:K416">
    <cfRule type="cellIs" dxfId="739" priority="1085" operator="equal">
      <formula>"true"</formula>
    </cfRule>
    <cfRule type="cellIs" dxfId="738" priority="1086" operator="equal">
      <formula>"true"</formula>
    </cfRule>
  </conditionalFormatting>
  <conditionalFormatting sqref="K417">
    <cfRule type="cellIs" dxfId="737" priority="1084" operator="equal">
      <formula>"false"</formula>
    </cfRule>
  </conditionalFormatting>
  <conditionalFormatting sqref="K417">
    <cfRule type="cellIs" dxfId="736" priority="1083" operator="equal">
      <formula>"false"</formula>
    </cfRule>
  </conditionalFormatting>
  <conditionalFormatting sqref="K417">
    <cfRule type="cellIs" dxfId="735" priority="1081" operator="equal">
      <formula>"true"</formula>
    </cfRule>
    <cfRule type="cellIs" dxfId="734" priority="1082" operator="equal">
      <formula>"true"</formula>
    </cfRule>
  </conditionalFormatting>
  <conditionalFormatting sqref="K418:K420">
    <cfRule type="cellIs" dxfId="733" priority="1080" operator="equal">
      <formula>"false"</formula>
    </cfRule>
  </conditionalFormatting>
  <conditionalFormatting sqref="K418:K420">
    <cfRule type="cellIs" dxfId="732" priority="1079" operator="equal">
      <formula>"false"</formula>
    </cfRule>
  </conditionalFormatting>
  <conditionalFormatting sqref="K418:K420">
    <cfRule type="cellIs" dxfId="731" priority="1077" operator="equal">
      <formula>"true"</formula>
    </cfRule>
    <cfRule type="cellIs" dxfId="730" priority="1078" operator="equal">
      <formula>"true"</formula>
    </cfRule>
  </conditionalFormatting>
  <conditionalFormatting sqref="K422:K424">
    <cfRule type="cellIs" dxfId="729" priority="1076" operator="equal">
      <formula>"false"</formula>
    </cfRule>
  </conditionalFormatting>
  <conditionalFormatting sqref="K422:K424">
    <cfRule type="cellIs" dxfId="728" priority="1075" operator="equal">
      <formula>"false"</formula>
    </cfRule>
  </conditionalFormatting>
  <conditionalFormatting sqref="K422:K424">
    <cfRule type="cellIs" dxfId="727" priority="1073" operator="equal">
      <formula>"true"</formula>
    </cfRule>
    <cfRule type="cellIs" dxfId="726" priority="1074" operator="equal">
      <formula>"true"</formula>
    </cfRule>
  </conditionalFormatting>
  <conditionalFormatting sqref="T423">
    <cfRule type="cellIs" dxfId="725" priority="1072" operator="equal">
      <formula>"false"</formula>
    </cfRule>
  </conditionalFormatting>
  <conditionalFormatting sqref="T423">
    <cfRule type="cellIs" dxfId="724" priority="1071" operator="equal">
      <formula>"false"</formula>
    </cfRule>
  </conditionalFormatting>
  <conditionalFormatting sqref="T423">
    <cfRule type="cellIs" dxfId="723" priority="1069" operator="equal">
      <formula>"true"</formula>
    </cfRule>
    <cfRule type="cellIs" dxfId="722" priority="1070" operator="equal">
      <formula>"true"</formula>
    </cfRule>
  </conditionalFormatting>
  <conditionalFormatting sqref="I417:I424">
    <cfRule type="cellIs" dxfId="721" priority="1068" operator="equal">
      <formula>"false"</formula>
    </cfRule>
  </conditionalFormatting>
  <conditionalFormatting sqref="I417:I424">
    <cfRule type="cellIs" dxfId="720" priority="1067" operator="equal">
      <formula>"false"</formula>
    </cfRule>
  </conditionalFormatting>
  <conditionalFormatting sqref="I417:I424">
    <cfRule type="cellIs" dxfId="719" priority="1065" operator="equal">
      <formula>"true"</formula>
    </cfRule>
    <cfRule type="cellIs" dxfId="718" priority="1066" operator="equal">
      <formula>"true"</formula>
    </cfRule>
  </conditionalFormatting>
  <conditionalFormatting sqref="I416">
    <cfRule type="cellIs" dxfId="717" priority="1064" operator="equal">
      <formula>"false"</formula>
    </cfRule>
  </conditionalFormatting>
  <conditionalFormatting sqref="I416">
    <cfRule type="cellIs" dxfId="716" priority="1063" operator="equal">
      <formula>"false"</formula>
    </cfRule>
  </conditionalFormatting>
  <conditionalFormatting sqref="I416">
    <cfRule type="cellIs" dxfId="715" priority="1061" operator="equal">
      <formula>"true"</formula>
    </cfRule>
    <cfRule type="cellIs" dxfId="714" priority="1062" operator="equal">
      <formula>"true"</formula>
    </cfRule>
  </conditionalFormatting>
  <conditionalFormatting sqref="L416">
    <cfRule type="cellIs" dxfId="713" priority="1060" operator="equal">
      <formula>"false"</formula>
    </cfRule>
  </conditionalFormatting>
  <conditionalFormatting sqref="L416">
    <cfRule type="cellIs" dxfId="712" priority="1059" operator="equal">
      <formula>"false"</formula>
    </cfRule>
  </conditionalFormatting>
  <conditionalFormatting sqref="L416">
    <cfRule type="cellIs" dxfId="711" priority="1057" operator="equal">
      <formula>"true"</formula>
    </cfRule>
    <cfRule type="cellIs" dxfId="710" priority="1058" operator="equal">
      <formula>"true"</formula>
    </cfRule>
  </conditionalFormatting>
  <conditionalFormatting sqref="I449:L459 J441:L448 J440:K440">
    <cfRule type="cellIs" dxfId="709" priority="1056" operator="equal">
      <formula>"false"</formula>
    </cfRule>
  </conditionalFormatting>
  <conditionalFormatting sqref="I449:L459 J441:L448 J440:K440">
    <cfRule type="cellIs" dxfId="708" priority="1055" operator="equal">
      <formula>"false"</formula>
    </cfRule>
  </conditionalFormatting>
  <conditionalFormatting sqref="I449:L459 J441:L448 J440:K440">
    <cfRule type="cellIs" dxfId="707" priority="1053" operator="equal">
      <formula>"true"</formula>
    </cfRule>
    <cfRule type="cellIs" dxfId="706" priority="1054" operator="equal">
      <formula>"true"</formula>
    </cfRule>
  </conditionalFormatting>
  <conditionalFormatting sqref="T440:V446 T448:V459 V447">
    <cfRule type="cellIs" dxfId="705" priority="1052" operator="equal">
      <formula>"false"</formula>
    </cfRule>
  </conditionalFormatting>
  <conditionalFormatting sqref="T440:V446 T448:V459 V447">
    <cfRule type="cellIs" dxfId="704" priority="1051" operator="equal">
      <formula>"false"</formula>
    </cfRule>
  </conditionalFormatting>
  <conditionalFormatting sqref="T440:V446 T448:V459 V447">
    <cfRule type="cellIs" dxfId="703" priority="1049" operator="equal">
      <formula>"true"</formula>
    </cfRule>
    <cfRule type="cellIs" dxfId="702" priority="1050" operator="equal">
      <formula>"true"</formula>
    </cfRule>
  </conditionalFormatting>
  <conditionalFormatting sqref="U447">
    <cfRule type="cellIs" dxfId="701" priority="1048" operator="equal">
      <formula>"false"</formula>
    </cfRule>
  </conditionalFormatting>
  <conditionalFormatting sqref="U447">
    <cfRule type="cellIs" dxfId="700" priority="1047" operator="equal">
      <formula>"false"</formula>
    </cfRule>
  </conditionalFormatting>
  <conditionalFormatting sqref="U447">
    <cfRule type="cellIs" dxfId="699" priority="1045" operator="equal">
      <formula>"true"</formula>
    </cfRule>
    <cfRule type="cellIs" dxfId="698" priority="1046" operator="equal">
      <formula>"true"</formula>
    </cfRule>
  </conditionalFormatting>
  <conditionalFormatting sqref="J440:K440">
    <cfRule type="cellIs" dxfId="697" priority="1044" operator="equal">
      <formula>"false"</formula>
    </cfRule>
  </conditionalFormatting>
  <conditionalFormatting sqref="J440:K440">
    <cfRule type="cellIs" dxfId="696" priority="1043" operator="equal">
      <formula>"false"</formula>
    </cfRule>
  </conditionalFormatting>
  <conditionalFormatting sqref="J440:K440">
    <cfRule type="cellIs" dxfId="695" priority="1041" operator="equal">
      <formula>"true"</formula>
    </cfRule>
    <cfRule type="cellIs" dxfId="694" priority="1042" operator="equal">
      <formula>"true"</formula>
    </cfRule>
  </conditionalFormatting>
  <conditionalFormatting sqref="K441">
    <cfRule type="cellIs" dxfId="693" priority="1040" operator="equal">
      <formula>"false"</formula>
    </cfRule>
  </conditionalFormatting>
  <conditionalFormatting sqref="K441">
    <cfRule type="cellIs" dxfId="692" priority="1039" operator="equal">
      <formula>"false"</formula>
    </cfRule>
  </conditionalFormatting>
  <conditionalFormatting sqref="K441">
    <cfRule type="cellIs" dxfId="691" priority="1037" operator="equal">
      <formula>"true"</formula>
    </cfRule>
    <cfRule type="cellIs" dxfId="690" priority="1038" operator="equal">
      <formula>"true"</formula>
    </cfRule>
  </conditionalFormatting>
  <conditionalFormatting sqref="K442:K444">
    <cfRule type="cellIs" dxfId="689" priority="1036" operator="equal">
      <formula>"false"</formula>
    </cfRule>
  </conditionalFormatting>
  <conditionalFormatting sqref="K442:K444">
    <cfRule type="cellIs" dxfId="688" priority="1035" operator="equal">
      <formula>"false"</formula>
    </cfRule>
  </conditionalFormatting>
  <conditionalFormatting sqref="K442:K444">
    <cfRule type="cellIs" dxfId="687" priority="1033" operator="equal">
      <formula>"true"</formula>
    </cfRule>
    <cfRule type="cellIs" dxfId="686" priority="1034" operator="equal">
      <formula>"true"</formula>
    </cfRule>
  </conditionalFormatting>
  <conditionalFormatting sqref="K446:K448">
    <cfRule type="cellIs" dxfId="685" priority="1032" operator="equal">
      <formula>"false"</formula>
    </cfRule>
  </conditionalFormatting>
  <conditionalFormatting sqref="K446:K448">
    <cfRule type="cellIs" dxfId="684" priority="1031" operator="equal">
      <formula>"false"</formula>
    </cfRule>
  </conditionalFormatting>
  <conditionalFormatting sqref="K446:K448">
    <cfRule type="cellIs" dxfId="683" priority="1029" operator="equal">
      <formula>"true"</formula>
    </cfRule>
    <cfRule type="cellIs" dxfId="682" priority="1030" operator="equal">
      <formula>"true"</formula>
    </cfRule>
  </conditionalFormatting>
  <conditionalFormatting sqref="T447">
    <cfRule type="cellIs" dxfId="681" priority="1028" operator="equal">
      <formula>"false"</formula>
    </cfRule>
  </conditionalFormatting>
  <conditionalFormatting sqref="T447">
    <cfRule type="cellIs" dxfId="680" priority="1027" operator="equal">
      <formula>"false"</formula>
    </cfRule>
  </conditionalFormatting>
  <conditionalFormatting sqref="T447">
    <cfRule type="cellIs" dxfId="679" priority="1025" operator="equal">
      <formula>"true"</formula>
    </cfRule>
    <cfRule type="cellIs" dxfId="678" priority="1026" operator="equal">
      <formula>"true"</formula>
    </cfRule>
  </conditionalFormatting>
  <conditionalFormatting sqref="I441:I448">
    <cfRule type="cellIs" dxfId="677" priority="1024" operator="equal">
      <formula>"false"</formula>
    </cfRule>
  </conditionalFormatting>
  <conditionalFormatting sqref="I441:I448">
    <cfRule type="cellIs" dxfId="676" priority="1023" operator="equal">
      <formula>"false"</formula>
    </cfRule>
  </conditionalFormatting>
  <conditionalFormatting sqref="I441:I448">
    <cfRule type="cellIs" dxfId="675" priority="1021" operator="equal">
      <formula>"true"</formula>
    </cfRule>
    <cfRule type="cellIs" dxfId="674" priority="1022" operator="equal">
      <formula>"true"</formula>
    </cfRule>
  </conditionalFormatting>
  <conditionalFormatting sqref="I440">
    <cfRule type="cellIs" dxfId="673" priority="1020" operator="equal">
      <formula>"false"</formula>
    </cfRule>
  </conditionalFormatting>
  <conditionalFormatting sqref="I440">
    <cfRule type="cellIs" dxfId="672" priority="1019" operator="equal">
      <formula>"false"</formula>
    </cfRule>
  </conditionalFormatting>
  <conditionalFormatting sqref="I440">
    <cfRule type="cellIs" dxfId="671" priority="1017" operator="equal">
      <formula>"true"</formula>
    </cfRule>
    <cfRule type="cellIs" dxfId="670" priority="1018" operator="equal">
      <formula>"true"</formula>
    </cfRule>
  </conditionalFormatting>
  <conditionalFormatting sqref="L440">
    <cfRule type="cellIs" dxfId="669" priority="1016" operator="equal">
      <formula>"false"</formula>
    </cfRule>
  </conditionalFormatting>
  <conditionalFormatting sqref="L440">
    <cfRule type="cellIs" dxfId="668" priority="1015" operator="equal">
      <formula>"false"</formula>
    </cfRule>
  </conditionalFormatting>
  <conditionalFormatting sqref="L440">
    <cfRule type="cellIs" dxfId="667" priority="1013" operator="equal">
      <formula>"true"</formula>
    </cfRule>
    <cfRule type="cellIs" dxfId="666" priority="1014" operator="equal">
      <formula>"true"</formula>
    </cfRule>
  </conditionalFormatting>
  <conditionalFormatting sqref="I473:L483 J465:L472 J464:K464">
    <cfRule type="cellIs" dxfId="665" priority="1012" operator="equal">
      <formula>"false"</formula>
    </cfRule>
  </conditionalFormatting>
  <conditionalFormatting sqref="I473:L483 J465:L472 J464:K464">
    <cfRule type="cellIs" dxfId="664" priority="1011" operator="equal">
      <formula>"false"</formula>
    </cfRule>
  </conditionalFormatting>
  <conditionalFormatting sqref="I473:L483 J465:L472 J464:K464">
    <cfRule type="cellIs" dxfId="663" priority="1009" operator="equal">
      <formula>"true"</formula>
    </cfRule>
    <cfRule type="cellIs" dxfId="662" priority="1010" operator="equal">
      <formula>"true"</formula>
    </cfRule>
  </conditionalFormatting>
  <conditionalFormatting sqref="T464:V470 T472:V483 V471">
    <cfRule type="cellIs" dxfId="661" priority="1008" operator="equal">
      <formula>"false"</formula>
    </cfRule>
  </conditionalFormatting>
  <conditionalFormatting sqref="T464:V470 T472:V483 V471">
    <cfRule type="cellIs" dxfId="660" priority="1007" operator="equal">
      <formula>"false"</formula>
    </cfRule>
  </conditionalFormatting>
  <conditionalFormatting sqref="T464:V470 T472:V483 V471">
    <cfRule type="cellIs" dxfId="659" priority="1005" operator="equal">
      <formula>"true"</formula>
    </cfRule>
    <cfRule type="cellIs" dxfId="658" priority="1006" operator="equal">
      <formula>"true"</formula>
    </cfRule>
  </conditionalFormatting>
  <conditionalFormatting sqref="U471">
    <cfRule type="cellIs" dxfId="657" priority="1004" operator="equal">
      <formula>"false"</formula>
    </cfRule>
  </conditionalFormatting>
  <conditionalFormatting sqref="U471">
    <cfRule type="cellIs" dxfId="656" priority="1003" operator="equal">
      <formula>"false"</formula>
    </cfRule>
  </conditionalFormatting>
  <conditionalFormatting sqref="U471">
    <cfRule type="cellIs" dxfId="655" priority="1001" operator="equal">
      <formula>"true"</formula>
    </cfRule>
    <cfRule type="cellIs" dxfId="654" priority="1002" operator="equal">
      <formula>"true"</formula>
    </cfRule>
  </conditionalFormatting>
  <conditionalFormatting sqref="J464:K464">
    <cfRule type="cellIs" dxfId="653" priority="1000" operator="equal">
      <formula>"false"</formula>
    </cfRule>
  </conditionalFormatting>
  <conditionalFormatting sqref="J464:K464">
    <cfRule type="cellIs" dxfId="652" priority="999" operator="equal">
      <formula>"false"</formula>
    </cfRule>
  </conditionalFormatting>
  <conditionalFormatting sqref="J464:K464">
    <cfRule type="cellIs" dxfId="651" priority="997" operator="equal">
      <formula>"true"</formula>
    </cfRule>
    <cfRule type="cellIs" dxfId="650" priority="998" operator="equal">
      <formula>"true"</formula>
    </cfRule>
  </conditionalFormatting>
  <conditionalFormatting sqref="K465">
    <cfRule type="cellIs" dxfId="649" priority="996" operator="equal">
      <formula>"false"</formula>
    </cfRule>
  </conditionalFormatting>
  <conditionalFormatting sqref="K465">
    <cfRule type="cellIs" dxfId="648" priority="995" operator="equal">
      <formula>"false"</formula>
    </cfRule>
  </conditionalFormatting>
  <conditionalFormatting sqref="K465">
    <cfRule type="cellIs" dxfId="647" priority="993" operator="equal">
      <formula>"true"</formula>
    </cfRule>
    <cfRule type="cellIs" dxfId="646" priority="994" operator="equal">
      <formula>"true"</formula>
    </cfRule>
  </conditionalFormatting>
  <conditionalFormatting sqref="K466:K468">
    <cfRule type="cellIs" dxfId="645" priority="992" operator="equal">
      <formula>"false"</formula>
    </cfRule>
  </conditionalFormatting>
  <conditionalFormatting sqref="K466:K468">
    <cfRule type="cellIs" dxfId="644" priority="991" operator="equal">
      <formula>"false"</formula>
    </cfRule>
  </conditionalFormatting>
  <conditionalFormatting sqref="K466:K468">
    <cfRule type="cellIs" dxfId="643" priority="989" operator="equal">
      <formula>"true"</formula>
    </cfRule>
    <cfRule type="cellIs" dxfId="642" priority="990" operator="equal">
      <formula>"true"</formula>
    </cfRule>
  </conditionalFormatting>
  <conditionalFormatting sqref="K470:K472">
    <cfRule type="cellIs" dxfId="641" priority="988" operator="equal">
      <formula>"false"</formula>
    </cfRule>
  </conditionalFormatting>
  <conditionalFormatting sqref="K470:K472">
    <cfRule type="cellIs" dxfId="640" priority="987" operator="equal">
      <formula>"false"</formula>
    </cfRule>
  </conditionalFormatting>
  <conditionalFormatting sqref="K470:K472">
    <cfRule type="cellIs" dxfId="639" priority="985" operator="equal">
      <formula>"true"</formula>
    </cfRule>
    <cfRule type="cellIs" dxfId="638" priority="986" operator="equal">
      <formula>"true"</formula>
    </cfRule>
  </conditionalFormatting>
  <conditionalFormatting sqref="T471">
    <cfRule type="cellIs" dxfId="637" priority="984" operator="equal">
      <formula>"false"</formula>
    </cfRule>
  </conditionalFormatting>
  <conditionalFormatting sqref="T471">
    <cfRule type="cellIs" dxfId="636" priority="983" operator="equal">
      <formula>"false"</formula>
    </cfRule>
  </conditionalFormatting>
  <conditionalFormatting sqref="T471">
    <cfRule type="cellIs" dxfId="635" priority="981" operator="equal">
      <formula>"true"</formula>
    </cfRule>
    <cfRule type="cellIs" dxfId="634" priority="982" operator="equal">
      <formula>"true"</formula>
    </cfRule>
  </conditionalFormatting>
  <conditionalFormatting sqref="I465:I472">
    <cfRule type="cellIs" dxfId="633" priority="980" operator="equal">
      <formula>"false"</formula>
    </cfRule>
  </conditionalFormatting>
  <conditionalFormatting sqref="I465:I472">
    <cfRule type="cellIs" dxfId="632" priority="979" operator="equal">
      <formula>"false"</formula>
    </cfRule>
  </conditionalFormatting>
  <conditionalFormatting sqref="I465:I472">
    <cfRule type="cellIs" dxfId="631" priority="977" operator="equal">
      <formula>"true"</formula>
    </cfRule>
    <cfRule type="cellIs" dxfId="630" priority="978" operator="equal">
      <formula>"true"</formula>
    </cfRule>
  </conditionalFormatting>
  <conditionalFormatting sqref="I464">
    <cfRule type="cellIs" dxfId="629" priority="976" operator="equal">
      <formula>"false"</formula>
    </cfRule>
  </conditionalFormatting>
  <conditionalFormatting sqref="I464">
    <cfRule type="cellIs" dxfId="628" priority="975" operator="equal">
      <formula>"false"</formula>
    </cfRule>
  </conditionalFormatting>
  <conditionalFormatting sqref="I464">
    <cfRule type="cellIs" dxfId="627" priority="973" operator="equal">
      <formula>"true"</formula>
    </cfRule>
    <cfRule type="cellIs" dxfId="626" priority="974" operator="equal">
      <formula>"true"</formula>
    </cfRule>
  </conditionalFormatting>
  <conditionalFormatting sqref="L464">
    <cfRule type="cellIs" dxfId="625" priority="972" operator="equal">
      <formula>"false"</formula>
    </cfRule>
  </conditionalFormatting>
  <conditionalFormatting sqref="L464">
    <cfRule type="cellIs" dxfId="624" priority="971" operator="equal">
      <formula>"false"</formula>
    </cfRule>
  </conditionalFormatting>
  <conditionalFormatting sqref="L464">
    <cfRule type="cellIs" dxfId="623" priority="969" operator="equal">
      <formula>"true"</formula>
    </cfRule>
    <cfRule type="cellIs" dxfId="622" priority="970" operator="equal">
      <formula>"true"</formula>
    </cfRule>
  </conditionalFormatting>
  <conditionalFormatting sqref="X15:X27">
    <cfRule type="cellIs" dxfId="621" priority="965" operator="equal">
      <formula>"Нет"</formula>
    </cfRule>
    <cfRule type="cellIs" dxfId="620" priority="966" operator="equal">
      <formula>"Да"</formula>
    </cfRule>
  </conditionalFormatting>
  <conditionalFormatting sqref="X46:X51 X37:X39">
    <cfRule type="cellIs" dxfId="619" priority="963" operator="equal">
      <formula>"Нет"</formula>
    </cfRule>
    <cfRule type="cellIs" dxfId="618" priority="964" operator="equal">
      <formula>"Да"</formula>
    </cfRule>
  </conditionalFormatting>
  <conditionalFormatting sqref="X66:X75">
    <cfRule type="cellIs" dxfId="617" priority="959" operator="equal">
      <formula>"Нет"</formula>
    </cfRule>
    <cfRule type="cellIs" dxfId="616" priority="960" operator="equal">
      <formula>"Да"</formula>
    </cfRule>
  </conditionalFormatting>
  <conditionalFormatting sqref="X91:X99">
    <cfRule type="cellIs" dxfId="615" priority="955" operator="equal">
      <formula>"Нет"</formula>
    </cfRule>
    <cfRule type="cellIs" dxfId="614" priority="956" operator="equal">
      <formula>"Да"</formula>
    </cfRule>
  </conditionalFormatting>
  <conditionalFormatting sqref="X115:X123">
    <cfRule type="cellIs" dxfId="613" priority="951" operator="equal">
      <formula>"Нет"</formula>
    </cfRule>
    <cfRule type="cellIs" dxfId="612" priority="952" operator="equal">
      <formula>"Да"</formula>
    </cfRule>
  </conditionalFormatting>
  <conditionalFormatting sqref="X146:X147">
    <cfRule type="cellIs" dxfId="611" priority="947" operator="equal">
      <formula>"Нет"</formula>
    </cfRule>
    <cfRule type="cellIs" dxfId="610" priority="948" operator="equal">
      <formula>"Да"</formula>
    </cfRule>
  </conditionalFormatting>
  <conditionalFormatting sqref="X163:X171">
    <cfRule type="cellIs" dxfId="609" priority="943" operator="equal">
      <formula>"Нет"</formula>
    </cfRule>
    <cfRule type="cellIs" dxfId="608" priority="944" operator="equal">
      <formula>"Да"</formula>
    </cfRule>
  </conditionalFormatting>
  <conditionalFormatting sqref="X182:X195">
    <cfRule type="cellIs" dxfId="607" priority="939" operator="equal">
      <formula>"Нет"</formula>
    </cfRule>
    <cfRule type="cellIs" dxfId="606" priority="940" operator="equal">
      <formula>"Да"</formula>
    </cfRule>
  </conditionalFormatting>
  <conditionalFormatting sqref="X210:X219">
    <cfRule type="cellIs" dxfId="605" priority="937" operator="equal">
      <formula>"Нет"</formula>
    </cfRule>
    <cfRule type="cellIs" dxfId="604" priority="938" operator="equal">
      <formula>"Да"</formula>
    </cfRule>
  </conditionalFormatting>
  <conditionalFormatting sqref="X224:X243">
    <cfRule type="cellIs" dxfId="603" priority="935" operator="equal">
      <formula>"Нет"</formula>
    </cfRule>
    <cfRule type="cellIs" dxfId="602" priority="936" operator="equal">
      <formula>"Да"</formula>
    </cfRule>
  </conditionalFormatting>
  <conditionalFormatting sqref="X248:X267">
    <cfRule type="cellIs" dxfId="601" priority="933" operator="equal">
      <formula>"Нет"</formula>
    </cfRule>
    <cfRule type="cellIs" dxfId="600" priority="934" operator="equal">
      <formula>"Да"</formula>
    </cfRule>
  </conditionalFormatting>
  <conditionalFormatting sqref="X272:X291">
    <cfRule type="cellIs" dxfId="599" priority="931" operator="equal">
      <formula>"Нет"</formula>
    </cfRule>
    <cfRule type="cellIs" dxfId="598" priority="932" operator="equal">
      <formula>"Да"</formula>
    </cfRule>
  </conditionalFormatting>
  <conditionalFormatting sqref="X296:X315">
    <cfRule type="cellIs" dxfId="597" priority="929" operator="equal">
      <formula>"Нет"</formula>
    </cfRule>
    <cfRule type="cellIs" dxfId="596" priority="930" operator="equal">
      <formula>"Да"</formula>
    </cfRule>
  </conditionalFormatting>
  <conditionalFormatting sqref="X320:X339">
    <cfRule type="cellIs" dxfId="595" priority="927" operator="equal">
      <formula>"Нет"</formula>
    </cfRule>
    <cfRule type="cellIs" dxfId="594" priority="928" operator="equal">
      <formula>"Да"</formula>
    </cfRule>
  </conditionalFormatting>
  <conditionalFormatting sqref="X344:X363">
    <cfRule type="cellIs" dxfId="593" priority="925" operator="equal">
      <formula>"Нет"</formula>
    </cfRule>
    <cfRule type="cellIs" dxfId="592" priority="926" operator="equal">
      <formula>"Да"</formula>
    </cfRule>
  </conditionalFormatting>
  <conditionalFormatting sqref="X368:X387">
    <cfRule type="cellIs" dxfId="591" priority="923" operator="equal">
      <formula>"Нет"</formula>
    </cfRule>
    <cfRule type="cellIs" dxfId="590" priority="924" operator="equal">
      <formula>"Да"</formula>
    </cfRule>
  </conditionalFormatting>
  <conditionalFormatting sqref="X392:X411">
    <cfRule type="cellIs" dxfId="589" priority="921" operator="equal">
      <formula>"Нет"</formula>
    </cfRule>
    <cfRule type="cellIs" dxfId="588" priority="922" operator="equal">
      <formula>"Да"</formula>
    </cfRule>
  </conditionalFormatting>
  <conditionalFormatting sqref="X416:X435">
    <cfRule type="cellIs" dxfId="587" priority="919" operator="equal">
      <formula>"Нет"</formula>
    </cfRule>
    <cfRule type="cellIs" dxfId="586" priority="920" operator="equal">
      <formula>"Да"</formula>
    </cfRule>
  </conditionalFormatting>
  <conditionalFormatting sqref="X440:X459">
    <cfRule type="cellIs" dxfId="585" priority="917" operator="equal">
      <formula>"Нет"</formula>
    </cfRule>
    <cfRule type="cellIs" dxfId="584" priority="918" operator="equal">
      <formula>"Да"</formula>
    </cfRule>
  </conditionalFormatting>
  <conditionalFormatting sqref="X464:X483">
    <cfRule type="cellIs" dxfId="583" priority="915" operator="equal">
      <formula>"Нет"</formula>
    </cfRule>
    <cfRule type="cellIs" dxfId="582" priority="916" operator="equal">
      <formula>"Да"</formula>
    </cfRule>
  </conditionalFormatting>
  <conditionalFormatting sqref="X40:X45">
    <cfRule type="cellIs" dxfId="581" priority="755" operator="equal">
      <formula>"Нет"</formula>
    </cfRule>
    <cfRule type="cellIs" dxfId="580" priority="756" operator="equal">
      <formula>"Да"</formula>
    </cfRule>
  </conditionalFormatting>
  <conditionalFormatting sqref="X65">
    <cfRule type="cellIs" dxfId="579" priority="753" operator="equal">
      <formula>"Нет"</formula>
    </cfRule>
    <cfRule type="cellIs" dxfId="578" priority="754" operator="equal">
      <formula>"Да"</formula>
    </cfRule>
  </conditionalFormatting>
  <conditionalFormatting sqref="I37:I45">
    <cfRule type="cellIs" dxfId="577" priority="742" operator="equal">
      <formula>"false"</formula>
    </cfRule>
  </conditionalFormatting>
  <conditionalFormatting sqref="I37:I45">
    <cfRule type="cellIs" dxfId="576" priority="741" operator="equal">
      <formula>"false"</formula>
    </cfRule>
  </conditionalFormatting>
  <conditionalFormatting sqref="I37:I45">
    <cfRule type="cellIs" dxfId="575" priority="739" operator="equal">
      <formula>"true"</formula>
    </cfRule>
    <cfRule type="cellIs" dxfId="574" priority="740" operator="equal">
      <formula>"true"</formula>
    </cfRule>
  </conditionalFormatting>
  <conditionalFormatting sqref="K42:K45">
    <cfRule type="cellIs" dxfId="573" priority="738" operator="equal">
      <formula>"false"</formula>
    </cfRule>
  </conditionalFormatting>
  <conditionalFormatting sqref="K42:K45">
    <cfRule type="cellIs" dxfId="572" priority="737" operator="equal">
      <formula>"false"</formula>
    </cfRule>
  </conditionalFormatting>
  <conditionalFormatting sqref="K42:K45">
    <cfRule type="cellIs" dxfId="571" priority="735" operator="equal">
      <formula>"true"</formula>
    </cfRule>
    <cfRule type="cellIs" dxfId="570" priority="736" operator="equal">
      <formula>"true"</formula>
    </cfRule>
  </conditionalFormatting>
  <conditionalFormatting sqref="L40:L43">
    <cfRule type="cellIs" dxfId="569" priority="734" operator="equal">
      <formula>"false"</formula>
    </cfRule>
  </conditionalFormatting>
  <conditionalFormatting sqref="L40:L43">
    <cfRule type="cellIs" dxfId="568" priority="733" operator="equal">
      <formula>"false"</formula>
    </cfRule>
  </conditionalFormatting>
  <conditionalFormatting sqref="L40:L43">
    <cfRule type="cellIs" dxfId="567" priority="731" operator="equal">
      <formula>"true"</formula>
    </cfRule>
    <cfRule type="cellIs" dxfId="566" priority="732" operator="equal">
      <formula>"true"</formula>
    </cfRule>
  </conditionalFormatting>
  <conditionalFormatting sqref="L40:L43">
    <cfRule type="cellIs" dxfId="565" priority="730" operator="equal">
      <formula>"false"</formula>
    </cfRule>
  </conditionalFormatting>
  <conditionalFormatting sqref="L40:L43">
    <cfRule type="cellIs" dxfId="564" priority="729" operator="equal">
      <formula>"false"</formula>
    </cfRule>
  </conditionalFormatting>
  <conditionalFormatting sqref="L40:L43">
    <cfRule type="cellIs" dxfId="563" priority="727" operator="equal">
      <formula>"true"</formula>
    </cfRule>
    <cfRule type="cellIs" dxfId="562" priority="728" operator="equal">
      <formula>"true"</formula>
    </cfRule>
  </conditionalFormatting>
  <conditionalFormatting sqref="J66:J69 L68:L69 J65:K65 L57:L63 J59:J64">
    <cfRule type="cellIs" dxfId="561" priority="722" operator="equal">
      <formula>"false"</formula>
    </cfRule>
  </conditionalFormatting>
  <conditionalFormatting sqref="J66:J69 L68:L69 J65:K65 L57:L63 J59:J64">
    <cfRule type="cellIs" dxfId="560" priority="721" operator="equal">
      <formula>"false"</formula>
    </cfRule>
  </conditionalFormatting>
  <conditionalFormatting sqref="J66:J69 L68:L69 J65:K65 L57:L63 J59:J64">
    <cfRule type="cellIs" dxfId="559" priority="719" operator="equal">
      <formula>"true"</formula>
    </cfRule>
    <cfRule type="cellIs" dxfId="558" priority="720" operator="equal">
      <formula>"true"</formula>
    </cfRule>
  </conditionalFormatting>
  <conditionalFormatting sqref="L57:L63">
    <cfRule type="cellIs" dxfId="557" priority="718" operator="equal">
      <formula>"false"</formula>
    </cfRule>
  </conditionalFormatting>
  <conditionalFormatting sqref="L57:L63">
    <cfRule type="cellIs" dxfId="556" priority="717" operator="equal">
      <formula>"false"</formula>
    </cfRule>
  </conditionalFormatting>
  <conditionalFormatting sqref="L57:L63">
    <cfRule type="cellIs" dxfId="555" priority="715" operator="equal">
      <formula>"true"</formula>
    </cfRule>
    <cfRule type="cellIs" dxfId="554" priority="716" operator="equal">
      <formula>"true"</formula>
    </cfRule>
  </conditionalFormatting>
  <conditionalFormatting sqref="I65:L73 J57:J63 I64:J64 L57:L64">
    <cfRule type="cellIs" dxfId="553" priority="714" operator="equal">
      <formula>"false"</formula>
    </cfRule>
  </conditionalFormatting>
  <conditionalFormatting sqref="I65:L73 J57:J63 I64:J64 L57:L64">
    <cfRule type="cellIs" dxfId="552" priority="713" operator="equal">
      <formula>"false"</formula>
    </cfRule>
  </conditionalFormatting>
  <conditionalFormatting sqref="I65:L73 J57:J63 I64:J64 L57:L64">
    <cfRule type="cellIs" dxfId="551" priority="711" operator="equal">
      <formula>"true"</formula>
    </cfRule>
    <cfRule type="cellIs" dxfId="550" priority="712" operator="equal">
      <formula>"true"</formula>
    </cfRule>
  </conditionalFormatting>
  <conditionalFormatting sqref="K66:K69">
    <cfRule type="cellIs" dxfId="549" priority="710" operator="equal">
      <formula>"false"</formula>
    </cfRule>
  </conditionalFormatting>
  <conditionalFormatting sqref="K66:K69">
    <cfRule type="cellIs" dxfId="548" priority="709" operator="equal">
      <formula>"false"</formula>
    </cfRule>
  </conditionalFormatting>
  <conditionalFormatting sqref="K66:K69">
    <cfRule type="cellIs" dxfId="547" priority="707" operator="equal">
      <formula>"true"</formula>
    </cfRule>
    <cfRule type="cellIs" dxfId="546" priority="708" operator="equal">
      <formula>"true"</formula>
    </cfRule>
  </conditionalFormatting>
  <conditionalFormatting sqref="L64:L67">
    <cfRule type="cellIs" dxfId="545" priority="706" operator="equal">
      <formula>"false"</formula>
    </cfRule>
  </conditionalFormatting>
  <conditionalFormatting sqref="L64:L67">
    <cfRule type="cellIs" dxfId="544" priority="705" operator="equal">
      <formula>"false"</formula>
    </cfRule>
  </conditionalFormatting>
  <conditionalFormatting sqref="L64:L67">
    <cfRule type="cellIs" dxfId="543" priority="703" operator="equal">
      <formula>"true"</formula>
    </cfRule>
    <cfRule type="cellIs" dxfId="542" priority="704" operator="equal">
      <formula>"true"</formula>
    </cfRule>
  </conditionalFormatting>
  <conditionalFormatting sqref="L64:L67">
    <cfRule type="cellIs" dxfId="541" priority="702" operator="equal">
      <formula>"false"</formula>
    </cfRule>
  </conditionalFormatting>
  <conditionalFormatting sqref="L64:L67">
    <cfRule type="cellIs" dxfId="540" priority="701" operator="equal">
      <formula>"false"</formula>
    </cfRule>
  </conditionalFormatting>
  <conditionalFormatting sqref="L64:L67">
    <cfRule type="cellIs" dxfId="539" priority="699" operator="equal">
      <formula>"true"</formula>
    </cfRule>
    <cfRule type="cellIs" dxfId="538" priority="700" operator="equal">
      <formula>"true"</formula>
    </cfRule>
  </conditionalFormatting>
  <conditionalFormatting sqref="J57:J58">
    <cfRule type="cellIs" dxfId="537" priority="698" operator="equal">
      <formula>"false"</formula>
    </cfRule>
  </conditionalFormatting>
  <conditionalFormatting sqref="J57:J58">
    <cfRule type="cellIs" dxfId="536" priority="697" operator="equal">
      <formula>"false"</formula>
    </cfRule>
  </conditionalFormatting>
  <conditionalFormatting sqref="J57:J58">
    <cfRule type="cellIs" dxfId="535" priority="695" operator="equal">
      <formula>"true"</formula>
    </cfRule>
    <cfRule type="cellIs" dxfId="534" priority="696" operator="equal">
      <formula>"true"</formula>
    </cfRule>
  </conditionalFormatting>
  <conditionalFormatting sqref="T57:T62 T64:T67 T69:T70">
    <cfRule type="cellIs" dxfId="533" priority="694" operator="equal">
      <formula>"false"</formula>
    </cfRule>
  </conditionalFormatting>
  <conditionalFormatting sqref="T57:T62 T64:T67 T69:T70">
    <cfRule type="cellIs" dxfId="532" priority="693" operator="equal">
      <formula>"false"</formula>
    </cfRule>
  </conditionalFormatting>
  <conditionalFormatting sqref="T57:T62 T64:T67 T69:T70">
    <cfRule type="cellIs" dxfId="531" priority="691" operator="equal">
      <formula>"true"</formula>
    </cfRule>
    <cfRule type="cellIs" dxfId="530" priority="692" operator="equal">
      <formula>"true"</formula>
    </cfRule>
  </conditionalFormatting>
  <conditionalFormatting sqref="T63">
    <cfRule type="cellIs" dxfId="529" priority="690" operator="equal">
      <formula>"false"</formula>
    </cfRule>
  </conditionalFormatting>
  <conditionalFormatting sqref="T63">
    <cfRule type="cellIs" dxfId="528" priority="689" operator="equal">
      <formula>"false"</formula>
    </cfRule>
  </conditionalFormatting>
  <conditionalFormatting sqref="T63">
    <cfRule type="cellIs" dxfId="527" priority="687" operator="equal">
      <formula>"true"</formula>
    </cfRule>
    <cfRule type="cellIs" dxfId="526" priority="688" operator="equal">
      <formula>"true"</formula>
    </cfRule>
  </conditionalFormatting>
  <conditionalFormatting sqref="U80:V85">
    <cfRule type="cellIs" dxfId="525" priority="686" operator="equal">
      <formula>"false"</formula>
    </cfRule>
  </conditionalFormatting>
  <conditionalFormatting sqref="U80:V85">
    <cfRule type="cellIs" dxfId="524" priority="685" operator="equal">
      <formula>"false"</formula>
    </cfRule>
  </conditionalFormatting>
  <conditionalFormatting sqref="U80:V85">
    <cfRule type="cellIs" dxfId="523" priority="683" operator="equal">
      <formula>"true"</formula>
    </cfRule>
    <cfRule type="cellIs" dxfId="522" priority="684" operator="equal">
      <formula>"true"</formula>
    </cfRule>
  </conditionalFormatting>
  <conditionalFormatting sqref="X80">
    <cfRule type="cellIs" dxfId="521" priority="681" operator="equal">
      <formula>"Нет"</formula>
    </cfRule>
    <cfRule type="cellIs" dxfId="520" priority="682" operator="equal">
      <formula>"Да"</formula>
    </cfRule>
  </conditionalFormatting>
  <conditionalFormatting sqref="X81 X84:X85">
    <cfRule type="cellIs" dxfId="519" priority="679" operator="equal">
      <formula>"Нет"</formula>
    </cfRule>
    <cfRule type="cellIs" dxfId="518" priority="680" operator="equal">
      <formula>"Да"</formula>
    </cfRule>
  </conditionalFormatting>
  <conditionalFormatting sqref="I87:L91">
    <cfRule type="cellIs" dxfId="517" priority="678" operator="equal">
      <formula>"false"</formula>
    </cfRule>
  </conditionalFormatting>
  <conditionalFormatting sqref="I87:L91">
    <cfRule type="cellIs" dxfId="516" priority="677" operator="equal">
      <formula>"false"</formula>
    </cfRule>
  </conditionalFormatting>
  <conditionalFormatting sqref="I87:L91">
    <cfRule type="cellIs" dxfId="515" priority="675" operator="equal">
      <formula>"true"</formula>
    </cfRule>
    <cfRule type="cellIs" dxfId="514" priority="676" operator="equal">
      <formula>"true"</formula>
    </cfRule>
  </conditionalFormatting>
  <conditionalFormatting sqref="T80:T85">
    <cfRule type="cellIs" dxfId="509" priority="662" operator="equal">
      <formula>"false"</formula>
    </cfRule>
  </conditionalFormatting>
  <conditionalFormatting sqref="T80:T85">
    <cfRule type="cellIs" dxfId="508" priority="661" operator="equal">
      <formula>"false"</formula>
    </cfRule>
  </conditionalFormatting>
  <conditionalFormatting sqref="T80:T85">
    <cfRule type="cellIs" dxfId="507" priority="659" operator="equal">
      <formula>"true"</formula>
    </cfRule>
    <cfRule type="cellIs" dxfId="506" priority="660" operator="equal">
      <formula>"true"</formula>
    </cfRule>
  </conditionalFormatting>
  <conditionalFormatting sqref="U86:V90">
    <cfRule type="cellIs" dxfId="505" priority="658" operator="equal">
      <formula>"false"</formula>
    </cfRule>
  </conditionalFormatting>
  <conditionalFormatting sqref="U86:V90">
    <cfRule type="cellIs" dxfId="504" priority="657" operator="equal">
      <formula>"false"</formula>
    </cfRule>
  </conditionalFormatting>
  <conditionalFormatting sqref="U86:V90">
    <cfRule type="cellIs" dxfId="503" priority="655" operator="equal">
      <formula>"true"</formula>
    </cfRule>
    <cfRule type="cellIs" dxfId="502" priority="656" operator="equal">
      <formula>"true"</formula>
    </cfRule>
  </conditionalFormatting>
  <conditionalFormatting sqref="X87:X90">
    <cfRule type="cellIs" dxfId="501" priority="653" operator="equal">
      <formula>"Нет"</formula>
    </cfRule>
    <cfRule type="cellIs" dxfId="500" priority="654" operator="equal">
      <formula>"Да"</formula>
    </cfRule>
  </conditionalFormatting>
  <conditionalFormatting sqref="X86">
    <cfRule type="cellIs" dxfId="499" priority="651" operator="equal">
      <formula>"Нет"</formula>
    </cfRule>
    <cfRule type="cellIs" dxfId="498" priority="652" operator="equal">
      <formula>"Да"</formula>
    </cfRule>
  </conditionalFormatting>
  <conditionalFormatting sqref="J87:J90 L89:L90">
    <cfRule type="cellIs" dxfId="497" priority="650" operator="equal">
      <formula>"false"</formula>
    </cfRule>
  </conditionalFormatting>
  <conditionalFormatting sqref="J87:J90 L89:L90">
    <cfRule type="cellIs" dxfId="496" priority="649" operator="equal">
      <formula>"false"</formula>
    </cfRule>
  </conditionalFormatting>
  <conditionalFormatting sqref="J87:J90 L89:L90">
    <cfRule type="cellIs" dxfId="495" priority="647" operator="equal">
      <formula>"true"</formula>
    </cfRule>
    <cfRule type="cellIs" dxfId="494" priority="648" operator="equal">
      <formula>"true"</formula>
    </cfRule>
  </conditionalFormatting>
  <conditionalFormatting sqref="I87:I90">
    <cfRule type="cellIs" dxfId="493" priority="646" operator="equal">
      <formula>"false"</formula>
    </cfRule>
  </conditionalFormatting>
  <conditionalFormatting sqref="I87:I90">
    <cfRule type="cellIs" dxfId="492" priority="645" operator="equal">
      <formula>"false"</formula>
    </cfRule>
  </conditionalFormatting>
  <conditionalFormatting sqref="I87:I90">
    <cfRule type="cellIs" dxfId="491" priority="643" operator="equal">
      <formula>"true"</formula>
    </cfRule>
    <cfRule type="cellIs" dxfId="490" priority="644" operator="equal">
      <formula>"true"</formula>
    </cfRule>
  </conditionalFormatting>
  <conditionalFormatting sqref="K87:K90">
    <cfRule type="cellIs" dxfId="489" priority="642" operator="equal">
      <formula>"false"</formula>
    </cfRule>
  </conditionalFormatting>
  <conditionalFormatting sqref="K87:K90">
    <cfRule type="cellIs" dxfId="488" priority="641" operator="equal">
      <formula>"false"</formula>
    </cfRule>
  </conditionalFormatting>
  <conditionalFormatting sqref="K87:K90">
    <cfRule type="cellIs" dxfId="487" priority="639" operator="equal">
      <formula>"true"</formula>
    </cfRule>
    <cfRule type="cellIs" dxfId="486" priority="640" operator="equal">
      <formula>"true"</formula>
    </cfRule>
  </conditionalFormatting>
  <conditionalFormatting sqref="L87:L88">
    <cfRule type="cellIs" dxfId="485" priority="638" operator="equal">
      <formula>"false"</formula>
    </cfRule>
  </conditionalFormatting>
  <conditionalFormatting sqref="L87:L88">
    <cfRule type="cellIs" dxfId="484" priority="637" operator="equal">
      <formula>"false"</formula>
    </cfRule>
  </conditionalFormatting>
  <conditionalFormatting sqref="L87:L88">
    <cfRule type="cellIs" dxfId="483" priority="635" operator="equal">
      <formula>"true"</formula>
    </cfRule>
    <cfRule type="cellIs" dxfId="482" priority="636" operator="equal">
      <formula>"true"</formula>
    </cfRule>
  </conditionalFormatting>
  <conditionalFormatting sqref="L87:L88">
    <cfRule type="cellIs" dxfId="481" priority="634" operator="equal">
      <formula>"false"</formula>
    </cfRule>
  </conditionalFormatting>
  <conditionalFormatting sqref="L87:L88">
    <cfRule type="cellIs" dxfId="480" priority="633" operator="equal">
      <formula>"false"</formula>
    </cfRule>
  </conditionalFormatting>
  <conditionalFormatting sqref="L87:L88">
    <cfRule type="cellIs" dxfId="479" priority="631" operator="equal">
      <formula>"true"</formula>
    </cfRule>
    <cfRule type="cellIs" dxfId="478" priority="632" operator="equal">
      <formula>"true"</formula>
    </cfRule>
  </conditionalFormatting>
  <conditionalFormatting sqref="T86:T88 T90">
    <cfRule type="cellIs" dxfId="477" priority="630" operator="equal">
      <formula>"false"</formula>
    </cfRule>
  </conditionalFormatting>
  <conditionalFormatting sqref="T86:T88 T90">
    <cfRule type="cellIs" dxfId="476" priority="629" operator="equal">
      <formula>"false"</formula>
    </cfRule>
  </conditionalFormatting>
  <conditionalFormatting sqref="T86:T88 T90">
    <cfRule type="cellIs" dxfId="475" priority="627" operator="equal">
      <formula>"true"</formula>
    </cfRule>
    <cfRule type="cellIs" dxfId="474" priority="628" operator="equal">
      <formula>"true"</formula>
    </cfRule>
  </conditionalFormatting>
  <conditionalFormatting sqref="I110:L114 I109:K109 J107:J108">
    <cfRule type="cellIs" dxfId="473" priority="626" operator="equal">
      <formula>"false"</formula>
    </cfRule>
  </conditionalFormatting>
  <conditionalFormatting sqref="I110:L114 I109:K109 J107:J108">
    <cfRule type="cellIs" dxfId="472" priority="625" operator="equal">
      <formula>"false"</formula>
    </cfRule>
  </conditionalFormatting>
  <conditionalFormatting sqref="I110:L114 I109:K109 J107:J108">
    <cfRule type="cellIs" dxfId="471" priority="623" operator="equal">
      <formula>"true"</formula>
    </cfRule>
    <cfRule type="cellIs" dxfId="470" priority="624" operator="equal">
      <formula>"true"</formula>
    </cfRule>
  </conditionalFormatting>
  <conditionalFormatting sqref="T104:V114">
    <cfRule type="cellIs" dxfId="469" priority="622" operator="equal">
      <formula>"false"</formula>
    </cfRule>
  </conditionalFormatting>
  <conditionalFormatting sqref="T104:V114">
    <cfRule type="cellIs" dxfId="468" priority="621" operator="equal">
      <formula>"false"</formula>
    </cfRule>
  </conditionalFormatting>
  <conditionalFormatting sqref="T104:V114">
    <cfRule type="cellIs" dxfId="467" priority="619" operator="equal">
      <formula>"true"</formula>
    </cfRule>
    <cfRule type="cellIs" dxfId="466" priority="620" operator="equal">
      <formula>"true"</formula>
    </cfRule>
  </conditionalFormatting>
  <conditionalFormatting sqref="X104:X114">
    <cfRule type="cellIs" dxfId="465" priority="617" operator="equal">
      <formula>"Нет"</formula>
    </cfRule>
    <cfRule type="cellIs" dxfId="464" priority="618" operator="equal">
      <formula>"Да"</formula>
    </cfRule>
  </conditionalFormatting>
  <conditionalFormatting sqref="I128:L145">
    <cfRule type="cellIs" dxfId="463" priority="616" operator="equal">
      <formula>"false"</formula>
    </cfRule>
  </conditionalFormatting>
  <conditionalFormatting sqref="I128:L145">
    <cfRule type="cellIs" dxfId="462" priority="615" operator="equal">
      <formula>"false"</formula>
    </cfRule>
  </conditionalFormatting>
  <conditionalFormatting sqref="I128:L145">
    <cfRule type="cellIs" dxfId="461" priority="613" operator="equal">
      <formula>"true"</formula>
    </cfRule>
    <cfRule type="cellIs" dxfId="460" priority="614" operator="equal">
      <formula>"true"</formula>
    </cfRule>
  </conditionalFormatting>
  <conditionalFormatting sqref="T128:V145">
    <cfRule type="cellIs" dxfId="459" priority="612" operator="equal">
      <formula>"false"</formula>
    </cfRule>
  </conditionalFormatting>
  <conditionalFormatting sqref="T128:V145">
    <cfRule type="cellIs" dxfId="458" priority="611" operator="equal">
      <formula>"false"</formula>
    </cfRule>
  </conditionalFormatting>
  <conditionalFormatting sqref="T128:V145">
    <cfRule type="cellIs" dxfId="457" priority="609" operator="equal">
      <formula>"true"</formula>
    </cfRule>
    <cfRule type="cellIs" dxfId="456" priority="610" operator="equal">
      <formula>"true"</formula>
    </cfRule>
  </conditionalFormatting>
  <conditionalFormatting sqref="X128:X145">
    <cfRule type="cellIs" dxfId="455" priority="607" operator="equal">
      <formula>"Нет"</formula>
    </cfRule>
    <cfRule type="cellIs" dxfId="454" priority="608" operator="equal">
      <formula>"Да"</formula>
    </cfRule>
  </conditionalFormatting>
  <conditionalFormatting sqref="I161:L162">
    <cfRule type="cellIs" dxfId="453" priority="606" operator="equal">
      <formula>"false"</formula>
    </cfRule>
  </conditionalFormatting>
  <conditionalFormatting sqref="I161:L162">
    <cfRule type="cellIs" dxfId="452" priority="605" operator="equal">
      <formula>"false"</formula>
    </cfRule>
  </conditionalFormatting>
  <conditionalFormatting sqref="I161:L162">
    <cfRule type="cellIs" dxfId="451" priority="603" operator="equal">
      <formula>"true"</formula>
    </cfRule>
    <cfRule type="cellIs" dxfId="450" priority="604" operator="equal">
      <formula>"true"</formula>
    </cfRule>
  </conditionalFormatting>
  <conditionalFormatting sqref="T152:V162">
    <cfRule type="cellIs" dxfId="449" priority="602" operator="equal">
      <formula>"false"</formula>
    </cfRule>
  </conditionalFormatting>
  <conditionalFormatting sqref="T152:V162">
    <cfRule type="cellIs" dxfId="448" priority="601" operator="equal">
      <formula>"false"</formula>
    </cfRule>
  </conditionalFormatting>
  <conditionalFormatting sqref="T152:V162">
    <cfRule type="cellIs" dxfId="447" priority="599" operator="equal">
      <formula>"true"</formula>
    </cfRule>
    <cfRule type="cellIs" dxfId="446" priority="600" operator="equal">
      <formula>"true"</formula>
    </cfRule>
  </conditionalFormatting>
  <conditionalFormatting sqref="X152:X162">
    <cfRule type="cellIs" dxfId="445" priority="597" operator="equal">
      <formula>"Нет"</formula>
    </cfRule>
    <cfRule type="cellIs" dxfId="444" priority="598" operator="equal">
      <formula>"Да"</formula>
    </cfRule>
  </conditionalFormatting>
  <conditionalFormatting sqref="I176:L181">
    <cfRule type="cellIs" dxfId="443" priority="596" operator="equal">
      <formula>"false"</formula>
    </cfRule>
  </conditionalFormatting>
  <conditionalFormatting sqref="I176:L181">
    <cfRule type="cellIs" dxfId="442" priority="595" operator="equal">
      <formula>"false"</formula>
    </cfRule>
  </conditionalFormatting>
  <conditionalFormatting sqref="I176:L181">
    <cfRule type="cellIs" dxfId="441" priority="593" operator="equal">
      <formula>"true"</formula>
    </cfRule>
    <cfRule type="cellIs" dxfId="440" priority="594" operator="equal">
      <formula>"true"</formula>
    </cfRule>
  </conditionalFormatting>
  <conditionalFormatting sqref="T176:V181">
    <cfRule type="cellIs" dxfId="439" priority="592" operator="equal">
      <formula>"false"</formula>
    </cfRule>
  </conditionalFormatting>
  <conditionalFormatting sqref="T176:V181">
    <cfRule type="cellIs" dxfId="438" priority="591" operator="equal">
      <formula>"false"</formula>
    </cfRule>
  </conditionalFormatting>
  <conditionalFormatting sqref="T176:V181">
    <cfRule type="cellIs" dxfId="437" priority="589" operator="equal">
      <formula>"true"</formula>
    </cfRule>
    <cfRule type="cellIs" dxfId="436" priority="590" operator="equal">
      <formula>"true"</formula>
    </cfRule>
  </conditionalFormatting>
  <conditionalFormatting sqref="X176:X181">
    <cfRule type="cellIs" dxfId="435" priority="587" operator="equal">
      <formula>"Нет"</formula>
    </cfRule>
    <cfRule type="cellIs" dxfId="434" priority="588" operator="equal">
      <formula>"Да"</formula>
    </cfRule>
  </conditionalFormatting>
  <conditionalFormatting sqref="I200:L209">
    <cfRule type="cellIs" dxfId="433" priority="586" operator="equal">
      <formula>"false"</formula>
    </cfRule>
  </conditionalFormatting>
  <conditionalFormatting sqref="I200:L209">
    <cfRule type="cellIs" dxfId="432" priority="585" operator="equal">
      <formula>"false"</formula>
    </cfRule>
  </conditionalFormatting>
  <conditionalFormatting sqref="I200:L209">
    <cfRule type="cellIs" dxfId="431" priority="583" operator="equal">
      <formula>"true"</formula>
    </cfRule>
    <cfRule type="cellIs" dxfId="430" priority="584" operator="equal">
      <formula>"true"</formula>
    </cfRule>
  </conditionalFormatting>
  <conditionalFormatting sqref="T200:V209">
    <cfRule type="cellIs" dxfId="429" priority="582" operator="equal">
      <formula>"false"</formula>
    </cfRule>
  </conditionalFormatting>
  <conditionalFormatting sqref="T200:V209">
    <cfRule type="cellIs" dxfId="428" priority="581" operator="equal">
      <formula>"false"</formula>
    </cfRule>
  </conditionalFormatting>
  <conditionalFormatting sqref="T200:V209">
    <cfRule type="cellIs" dxfId="427" priority="579" operator="equal">
      <formula>"true"</formula>
    </cfRule>
    <cfRule type="cellIs" dxfId="426" priority="580" operator="equal">
      <formula>"true"</formula>
    </cfRule>
  </conditionalFormatting>
  <conditionalFormatting sqref="X200:X209">
    <cfRule type="cellIs" dxfId="425" priority="577" operator="equal">
      <formula>"Нет"</formula>
    </cfRule>
    <cfRule type="cellIs" dxfId="424" priority="578" operator="equal">
      <formula>"Да"</formula>
    </cfRule>
  </conditionalFormatting>
  <conditionalFormatting sqref="T89">
    <cfRule type="cellIs" dxfId="419" priority="540" operator="equal">
      <formula>"false"</formula>
    </cfRule>
  </conditionalFormatting>
  <conditionalFormatting sqref="T89">
    <cfRule type="cellIs" dxfId="418" priority="539" operator="equal">
      <formula>"false"</formula>
    </cfRule>
  </conditionalFormatting>
  <conditionalFormatting sqref="T89">
    <cfRule type="cellIs" dxfId="417" priority="537" operator="equal">
      <formula>"true"</formula>
    </cfRule>
    <cfRule type="cellIs" dxfId="416" priority="538" operator="equal">
      <formula>"true"</formula>
    </cfRule>
  </conditionalFormatting>
  <conditionalFormatting sqref="T68">
    <cfRule type="cellIs" dxfId="415" priority="536" operator="equal">
      <formula>"false"</formula>
    </cfRule>
  </conditionalFormatting>
  <conditionalFormatting sqref="T68">
    <cfRule type="cellIs" dxfId="414" priority="535" operator="equal">
      <formula>"false"</formula>
    </cfRule>
  </conditionalFormatting>
  <conditionalFormatting sqref="T68">
    <cfRule type="cellIs" dxfId="413" priority="533" operator="equal">
      <formula>"true"</formula>
    </cfRule>
    <cfRule type="cellIs" dxfId="412" priority="534" operator="equal">
      <formula>"true"</formula>
    </cfRule>
  </conditionalFormatting>
  <conditionalFormatting sqref="T37:T46">
    <cfRule type="cellIs" dxfId="411" priority="532" operator="equal">
      <formula>"false"</formula>
    </cfRule>
  </conditionalFormatting>
  <conditionalFormatting sqref="T37:T46">
    <cfRule type="cellIs" dxfId="410" priority="531" operator="equal">
      <formula>"false"</formula>
    </cfRule>
  </conditionalFormatting>
  <conditionalFormatting sqref="T37:T46">
    <cfRule type="cellIs" dxfId="409" priority="529" operator="equal">
      <formula>"true"</formula>
    </cfRule>
    <cfRule type="cellIs" dxfId="408" priority="530" operator="equal">
      <formula>"true"</formula>
    </cfRule>
  </conditionalFormatting>
  <conditionalFormatting sqref="L45">
    <cfRule type="cellIs" dxfId="407" priority="528" operator="equal">
      <formula>"false"</formula>
    </cfRule>
  </conditionalFormatting>
  <conditionalFormatting sqref="L45">
    <cfRule type="cellIs" dxfId="406" priority="527" operator="equal">
      <formula>"false"</formula>
    </cfRule>
  </conditionalFormatting>
  <conditionalFormatting sqref="L45">
    <cfRule type="cellIs" dxfId="405" priority="525" operator="equal">
      <formula>"true"</formula>
    </cfRule>
    <cfRule type="cellIs" dxfId="404" priority="526" operator="equal">
      <formula>"true"</formula>
    </cfRule>
  </conditionalFormatting>
  <conditionalFormatting sqref="L107:L109">
    <cfRule type="cellIs" dxfId="403" priority="524" operator="equal">
      <formula>"false"</formula>
    </cfRule>
  </conditionalFormatting>
  <conditionalFormatting sqref="L107:L109">
    <cfRule type="cellIs" dxfId="402" priority="523" operator="equal">
      <formula>"false"</formula>
    </cfRule>
  </conditionalFormatting>
  <conditionalFormatting sqref="L107:L109">
    <cfRule type="cellIs" dxfId="401" priority="521" operator="equal">
      <formula>"true"</formula>
    </cfRule>
    <cfRule type="cellIs" dxfId="400" priority="522" operator="equal">
      <formula>"true"</formula>
    </cfRule>
  </conditionalFormatting>
  <conditionalFormatting sqref="I57">
    <cfRule type="cellIs" dxfId="399" priority="460" operator="equal">
      <formula>"false"</formula>
    </cfRule>
  </conditionalFormatting>
  <conditionalFormatting sqref="I57">
    <cfRule type="cellIs" dxfId="398" priority="459" operator="equal">
      <formula>"false"</formula>
    </cfRule>
  </conditionalFormatting>
  <conditionalFormatting sqref="I57">
    <cfRule type="cellIs" dxfId="397" priority="457" operator="equal">
      <formula>"true"</formula>
    </cfRule>
    <cfRule type="cellIs" dxfId="396" priority="458" operator="equal">
      <formula>"true"</formula>
    </cfRule>
  </conditionalFormatting>
  <conditionalFormatting sqref="I58">
    <cfRule type="cellIs" dxfId="395" priority="456" operator="equal">
      <formula>"false"</formula>
    </cfRule>
  </conditionalFormatting>
  <conditionalFormatting sqref="I58">
    <cfRule type="cellIs" dxfId="394" priority="455" operator="equal">
      <formula>"false"</formula>
    </cfRule>
  </conditionalFormatting>
  <conditionalFormatting sqref="I58">
    <cfRule type="cellIs" dxfId="393" priority="453" operator="equal">
      <formula>"true"</formula>
    </cfRule>
    <cfRule type="cellIs" dxfId="392" priority="454" operator="equal">
      <formula>"true"</formula>
    </cfRule>
  </conditionalFormatting>
  <conditionalFormatting sqref="I59">
    <cfRule type="cellIs" dxfId="391" priority="452" operator="equal">
      <formula>"false"</formula>
    </cfRule>
  </conditionalFormatting>
  <conditionalFormatting sqref="I59">
    <cfRule type="cellIs" dxfId="390" priority="451" operator="equal">
      <formula>"false"</formula>
    </cfRule>
  </conditionalFormatting>
  <conditionalFormatting sqref="I59">
    <cfRule type="cellIs" dxfId="389" priority="449" operator="equal">
      <formula>"true"</formula>
    </cfRule>
    <cfRule type="cellIs" dxfId="388" priority="450" operator="equal">
      <formula>"true"</formula>
    </cfRule>
  </conditionalFormatting>
  <conditionalFormatting sqref="I60">
    <cfRule type="cellIs" dxfId="387" priority="448" operator="equal">
      <formula>"false"</formula>
    </cfRule>
  </conditionalFormatting>
  <conditionalFormatting sqref="I60">
    <cfRule type="cellIs" dxfId="386" priority="447" operator="equal">
      <formula>"false"</formula>
    </cfRule>
  </conditionalFormatting>
  <conditionalFormatting sqref="I60">
    <cfRule type="cellIs" dxfId="385" priority="445" operator="equal">
      <formula>"true"</formula>
    </cfRule>
    <cfRule type="cellIs" dxfId="384" priority="446" operator="equal">
      <formula>"true"</formula>
    </cfRule>
  </conditionalFormatting>
  <conditionalFormatting sqref="K57:K60">
    <cfRule type="cellIs" dxfId="383" priority="432" operator="equal">
      <formula>"false"</formula>
    </cfRule>
  </conditionalFormatting>
  <conditionalFormatting sqref="K57:K60">
    <cfRule type="cellIs" dxfId="382" priority="431" operator="equal">
      <formula>"false"</formula>
    </cfRule>
  </conditionalFormatting>
  <conditionalFormatting sqref="K57:K60">
    <cfRule type="cellIs" dxfId="381" priority="429" operator="equal">
      <formula>"true"</formula>
    </cfRule>
    <cfRule type="cellIs" dxfId="380" priority="430" operator="equal">
      <formula>"true"</formula>
    </cfRule>
  </conditionalFormatting>
  <conditionalFormatting sqref="X82">
    <cfRule type="cellIs" dxfId="315" priority="339" operator="equal">
      <formula>"Нет"</formula>
    </cfRule>
    <cfRule type="cellIs" dxfId="314" priority="340" operator="equal">
      <formula>"Да"</formula>
    </cfRule>
  </conditionalFormatting>
  <conditionalFormatting sqref="X83">
    <cfRule type="cellIs" dxfId="313" priority="321" operator="equal">
      <formula>"Нет"</formula>
    </cfRule>
    <cfRule type="cellIs" dxfId="312" priority="322" operator="equal">
      <formula>"Да"</formula>
    </cfRule>
  </conditionalFormatting>
  <conditionalFormatting sqref="L224">
    <cfRule type="cellIs" dxfId="311" priority="320" operator="equal">
      <formula>"false"</formula>
    </cfRule>
  </conditionalFormatting>
  <conditionalFormatting sqref="L224">
    <cfRule type="cellIs" dxfId="310" priority="319" operator="equal">
      <formula>"false"</formula>
    </cfRule>
  </conditionalFormatting>
  <conditionalFormatting sqref="L224">
    <cfRule type="cellIs" dxfId="309" priority="317" operator="equal">
      <formula>"true"</formula>
    </cfRule>
    <cfRule type="cellIs" dxfId="308" priority="318" operator="equal">
      <formula>"true"</formula>
    </cfRule>
  </conditionalFormatting>
  <conditionalFormatting sqref="X57:X60">
    <cfRule type="cellIs" dxfId="307" priority="313" operator="equal">
      <formula>"Нет"</formula>
    </cfRule>
    <cfRule type="cellIs" dxfId="306" priority="314" operator="equal">
      <formula>"Да"</formula>
    </cfRule>
  </conditionalFormatting>
  <conditionalFormatting sqref="I128">
    <cfRule type="cellIs" dxfId="305" priority="312" operator="equal">
      <formula>"false"</formula>
    </cfRule>
  </conditionalFormatting>
  <conditionalFormatting sqref="I128">
    <cfRule type="cellIs" dxfId="304" priority="311" operator="equal">
      <formula>"false"</formula>
    </cfRule>
  </conditionalFormatting>
  <conditionalFormatting sqref="I128">
    <cfRule type="cellIs" dxfId="303" priority="309" operator="equal">
      <formula>"true"</formula>
    </cfRule>
    <cfRule type="cellIs" dxfId="302" priority="310" operator="equal">
      <formula>"true"</formula>
    </cfRule>
  </conditionalFormatting>
  <conditionalFormatting sqref="L128">
    <cfRule type="cellIs" dxfId="301" priority="308" operator="equal">
      <formula>"false"</formula>
    </cfRule>
  </conditionalFormatting>
  <conditionalFormatting sqref="L128">
    <cfRule type="cellIs" dxfId="300" priority="307" operator="equal">
      <formula>"false"</formula>
    </cfRule>
  </conditionalFormatting>
  <conditionalFormatting sqref="L128">
    <cfRule type="cellIs" dxfId="299" priority="305" operator="equal">
      <formula>"true"</formula>
    </cfRule>
    <cfRule type="cellIs" dxfId="298" priority="306" operator="equal">
      <formula>"true"</formula>
    </cfRule>
  </conditionalFormatting>
  <conditionalFormatting sqref="I129">
    <cfRule type="cellIs" dxfId="297" priority="304" operator="equal">
      <formula>"false"</formula>
    </cfRule>
  </conditionalFormatting>
  <conditionalFormatting sqref="I129">
    <cfRule type="cellIs" dxfId="296" priority="303" operator="equal">
      <formula>"false"</formula>
    </cfRule>
  </conditionalFormatting>
  <conditionalFormatting sqref="I129">
    <cfRule type="cellIs" dxfId="295" priority="301" operator="equal">
      <formula>"true"</formula>
    </cfRule>
    <cfRule type="cellIs" dxfId="294" priority="302" operator="equal">
      <formula>"true"</formula>
    </cfRule>
  </conditionalFormatting>
  <conditionalFormatting sqref="I61:I63">
    <cfRule type="cellIs" dxfId="293" priority="300" operator="equal">
      <formula>"false"</formula>
    </cfRule>
  </conditionalFormatting>
  <conditionalFormatting sqref="I61:I63">
    <cfRule type="cellIs" dxfId="292" priority="299" operator="equal">
      <formula>"false"</formula>
    </cfRule>
  </conditionalFormatting>
  <conditionalFormatting sqref="I61:I63">
    <cfRule type="cellIs" dxfId="291" priority="297" operator="equal">
      <formula>"true"</formula>
    </cfRule>
    <cfRule type="cellIs" dxfId="290" priority="298" operator="equal">
      <formula>"true"</formula>
    </cfRule>
  </conditionalFormatting>
  <conditionalFormatting sqref="K61:K64">
    <cfRule type="cellIs" dxfId="289" priority="296" operator="equal">
      <formula>"false"</formula>
    </cfRule>
  </conditionalFormatting>
  <conditionalFormatting sqref="K61:K64">
    <cfRule type="cellIs" dxfId="288" priority="295" operator="equal">
      <formula>"false"</formula>
    </cfRule>
  </conditionalFormatting>
  <conditionalFormatting sqref="K61:K64">
    <cfRule type="cellIs" dxfId="287" priority="293" operator="equal">
      <formula>"true"</formula>
    </cfRule>
    <cfRule type="cellIs" dxfId="286" priority="294" operator="equal">
      <formula>"true"</formula>
    </cfRule>
  </conditionalFormatting>
  <conditionalFormatting sqref="X61:X64">
    <cfRule type="cellIs" dxfId="285" priority="291" operator="equal">
      <formula>"Нет"</formula>
    </cfRule>
    <cfRule type="cellIs" dxfId="284" priority="292" operator="equal">
      <formula>"Да"</formula>
    </cfRule>
  </conditionalFormatting>
  <conditionalFormatting sqref="I107:I108">
    <cfRule type="cellIs" dxfId="251" priority="248" operator="equal">
      <formula>"false"</formula>
    </cfRule>
  </conditionalFormatting>
  <conditionalFormatting sqref="I107:I108">
    <cfRule type="cellIs" dxfId="250" priority="247" operator="equal">
      <formula>"false"</formula>
    </cfRule>
  </conditionalFormatting>
  <conditionalFormatting sqref="I107:I108">
    <cfRule type="cellIs" dxfId="249" priority="245" operator="equal">
      <formula>"true"</formula>
    </cfRule>
    <cfRule type="cellIs" dxfId="248" priority="246" operator="equal">
      <formula>"true"</formula>
    </cfRule>
  </conditionalFormatting>
  <conditionalFormatting sqref="K108">
    <cfRule type="cellIs" dxfId="247" priority="244" operator="equal">
      <formula>"false"</formula>
    </cfRule>
  </conditionalFormatting>
  <conditionalFormatting sqref="K108">
    <cfRule type="cellIs" dxfId="246" priority="243" operator="equal">
      <formula>"false"</formula>
    </cfRule>
  </conditionalFormatting>
  <conditionalFormatting sqref="K108">
    <cfRule type="cellIs" dxfId="245" priority="241" operator="equal">
      <formula>"true"</formula>
    </cfRule>
    <cfRule type="cellIs" dxfId="244" priority="242" operator="equal">
      <formula>"true"</formula>
    </cfRule>
  </conditionalFormatting>
  <conditionalFormatting sqref="K107">
    <cfRule type="cellIs" dxfId="243" priority="240" operator="equal">
      <formula>"false"</formula>
    </cfRule>
  </conditionalFormatting>
  <conditionalFormatting sqref="K107">
    <cfRule type="cellIs" dxfId="242" priority="239" operator="equal">
      <formula>"false"</formula>
    </cfRule>
  </conditionalFormatting>
  <conditionalFormatting sqref="K107">
    <cfRule type="cellIs" dxfId="241" priority="237" operator="equal">
      <formula>"true"</formula>
    </cfRule>
    <cfRule type="cellIs" dxfId="240" priority="238" operator="equal">
      <formula>"true"</formula>
    </cfRule>
  </conditionalFormatting>
  <conditionalFormatting sqref="U8:V13">
    <cfRule type="cellIs" dxfId="239" priority="236" operator="equal">
      <formula>"false"</formula>
    </cfRule>
  </conditionalFormatting>
  <conditionalFormatting sqref="U8:V13">
    <cfRule type="cellIs" dxfId="238" priority="235" operator="equal">
      <formula>"false"</formula>
    </cfRule>
  </conditionalFormatting>
  <conditionalFormatting sqref="U8:V13">
    <cfRule type="cellIs" dxfId="237" priority="233" operator="equal">
      <formula>"true"</formula>
    </cfRule>
    <cfRule type="cellIs" dxfId="236" priority="234" operator="equal">
      <formula>"true"</formula>
    </cfRule>
  </conditionalFormatting>
  <conditionalFormatting sqref="X8">
    <cfRule type="cellIs" dxfId="235" priority="231" operator="equal">
      <formula>"Нет"</formula>
    </cfRule>
    <cfRule type="cellIs" dxfId="234" priority="232" operator="equal">
      <formula>"Да"</formula>
    </cfRule>
  </conditionalFormatting>
  <conditionalFormatting sqref="X9 X12:X13">
    <cfRule type="cellIs" dxfId="233" priority="229" operator="equal">
      <formula>"Нет"</formula>
    </cfRule>
    <cfRule type="cellIs" dxfId="232" priority="230" operator="equal">
      <formula>"Да"</formula>
    </cfRule>
  </conditionalFormatting>
  <conditionalFormatting sqref="I14:L14 J11:J12 L10:L13">
    <cfRule type="cellIs" dxfId="231" priority="228" operator="equal">
      <formula>"false"</formula>
    </cfRule>
  </conditionalFormatting>
  <conditionalFormatting sqref="I14:L14 J11:J12 L10:L13">
    <cfRule type="cellIs" dxfId="230" priority="227" operator="equal">
      <formula>"false"</formula>
    </cfRule>
  </conditionalFormatting>
  <conditionalFormatting sqref="I14:L14 J11:J12 L10:L13">
    <cfRule type="cellIs" dxfId="229" priority="225" operator="equal">
      <formula>"true"</formula>
    </cfRule>
    <cfRule type="cellIs" dxfId="228" priority="226" operator="equal">
      <formula>"true"</formula>
    </cfRule>
  </conditionalFormatting>
  <conditionalFormatting sqref="L10:L13">
    <cfRule type="cellIs" dxfId="227" priority="224" operator="equal">
      <formula>"false"</formula>
    </cfRule>
  </conditionalFormatting>
  <conditionalFormatting sqref="L10:L13">
    <cfRule type="cellIs" dxfId="226" priority="223" operator="equal">
      <formula>"false"</formula>
    </cfRule>
  </conditionalFormatting>
  <conditionalFormatting sqref="L10:L13">
    <cfRule type="cellIs" dxfId="225" priority="221" operator="equal">
      <formula>"true"</formula>
    </cfRule>
    <cfRule type="cellIs" dxfId="224" priority="222" operator="equal">
      <formula>"true"</formula>
    </cfRule>
  </conditionalFormatting>
  <conditionalFormatting sqref="T8:T13">
    <cfRule type="cellIs" dxfId="223" priority="220" operator="equal">
      <formula>"false"</formula>
    </cfRule>
  </conditionalFormatting>
  <conditionalFormatting sqref="T8:T13">
    <cfRule type="cellIs" dxfId="222" priority="219" operator="equal">
      <formula>"false"</formula>
    </cfRule>
  </conditionalFormatting>
  <conditionalFormatting sqref="T8:T13">
    <cfRule type="cellIs" dxfId="221" priority="217" operator="equal">
      <formula>"true"</formula>
    </cfRule>
    <cfRule type="cellIs" dxfId="220" priority="218" operator="equal">
      <formula>"true"</formula>
    </cfRule>
  </conditionalFormatting>
  <conditionalFormatting sqref="U14:V14">
    <cfRule type="cellIs" dxfId="219" priority="216" operator="equal">
      <formula>"false"</formula>
    </cfRule>
  </conditionalFormatting>
  <conditionalFormatting sqref="U14:V14">
    <cfRule type="cellIs" dxfId="218" priority="215" operator="equal">
      <formula>"false"</formula>
    </cfRule>
  </conditionalFormatting>
  <conditionalFormatting sqref="U14:V14">
    <cfRule type="cellIs" dxfId="217" priority="213" operator="equal">
      <formula>"true"</formula>
    </cfRule>
    <cfRule type="cellIs" dxfId="216" priority="214" operator="equal">
      <formula>"true"</formula>
    </cfRule>
  </conditionalFormatting>
  <conditionalFormatting sqref="X14">
    <cfRule type="cellIs" dxfId="215" priority="211" operator="equal">
      <formula>"Нет"</formula>
    </cfRule>
    <cfRule type="cellIs" dxfId="214" priority="212" operator="equal">
      <formula>"Да"</formula>
    </cfRule>
  </conditionalFormatting>
  <conditionalFormatting sqref="J14:K14">
    <cfRule type="cellIs" dxfId="213" priority="210" operator="equal">
      <formula>"false"</formula>
    </cfRule>
  </conditionalFormatting>
  <conditionalFormatting sqref="J14:K14">
    <cfRule type="cellIs" dxfId="212" priority="209" operator="equal">
      <formula>"false"</formula>
    </cfRule>
  </conditionalFormatting>
  <conditionalFormatting sqref="J14:K14">
    <cfRule type="cellIs" dxfId="211" priority="207" operator="equal">
      <formula>"true"</formula>
    </cfRule>
    <cfRule type="cellIs" dxfId="210" priority="208" operator="equal">
      <formula>"true"</formula>
    </cfRule>
  </conditionalFormatting>
  <conditionalFormatting sqref="I14">
    <cfRule type="cellIs" dxfId="209" priority="206" operator="equal">
      <formula>"false"</formula>
    </cfRule>
  </conditionalFormatting>
  <conditionalFormatting sqref="I14">
    <cfRule type="cellIs" dxfId="208" priority="205" operator="equal">
      <formula>"false"</formula>
    </cfRule>
  </conditionalFormatting>
  <conditionalFormatting sqref="I14">
    <cfRule type="cellIs" dxfId="207" priority="203" operator="equal">
      <formula>"true"</formula>
    </cfRule>
    <cfRule type="cellIs" dxfId="206" priority="204" operator="equal">
      <formula>"true"</formula>
    </cfRule>
  </conditionalFormatting>
  <conditionalFormatting sqref="L14">
    <cfRule type="cellIs" dxfId="205" priority="202" operator="equal">
      <formula>"false"</formula>
    </cfRule>
  </conditionalFormatting>
  <conditionalFormatting sqref="L14">
    <cfRule type="cellIs" dxfId="204" priority="201" operator="equal">
      <formula>"false"</formula>
    </cfRule>
  </conditionalFormatting>
  <conditionalFormatting sqref="L14">
    <cfRule type="cellIs" dxfId="203" priority="199" operator="equal">
      <formula>"true"</formula>
    </cfRule>
    <cfRule type="cellIs" dxfId="202" priority="200" operator="equal">
      <formula>"true"</formula>
    </cfRule>
  </conditionalFormatting>
  <conditionalFormatting sqref="L14">
    <cfRule type="cellIs" dxfId="201" priority="198" operator="equal">
      <formula>"false"</formula>
    </cfRule>
  </conditionalFormatting>
  <conditionalFormatting sqref="L14">
    <cfRule type="cellIs" dxfId="200" priority="197" operator="equal">
      <formula>"false"</formula>
    </cfRule>
  </conditionalFormatting>
  <conditionalFormatting sqref="L14">
    <cfRule type="cellIs" dxfId="199" priority="195" operator="equal">
      <formula>"true"</formula>
    </cfRule>
    <cfRule type="cellIs" dxfId="198" priority="196" operator="equal">
      <formula>"true"</formula>
    </cfRule>
  </conditionalFormatting>
  <conditionalFormatting sqref="T14">
    <cfRule type="cellIs" dxfId="197" priority="194" operator="equal">
      <formula>"false"</formula>
    </cfRule>
  </conditionalFormatting>
  <conditionalFormatting sqref="T14">
    <cfRule type="cellIs" dxfId="196" priority="193" operator="equal">
      <formula>"false"</formula>
    </cfRule>
  </conditionalFormatting>
  <conditionalFormatting sqref="T14">
    <cfRule type="cellIs" dxfId="195" priority="191" operator="equal">
      <formula>"true"</formula>
    </cfRule>
    <cfRule type="cellIs" dxfId="194" priority="192" operator="equal">
      <formula>"true"</formula>
    </cfRule>
  </conditionalFormatting>
  <conditionalFormatting sqref="I8 K8:L8">
    <cfRule type="cellIs" dxfId="193" priority="190" operator="equal">
      <formula>"false"</formula>
    </cfRule>
  </conditionalFormatting>
  <conditionalFormatting sqref="I8 K8:L8">
    <cfRule type="cellIs" dxfId="192" priority="189" operator="equal">
      <formula>"false"</formula>
    </cfRule>
  </conditionalFormatting>
  <conditionalFormatting sqref="I8 K8:L8">
    <cfRule type="cellIs" dxfId="191" priority="187" operator="equal">
      <formula>"true"</formula>
    </cfRule>
    <cfRule type="cellIs" dxfId="190" priority="188" operator="equal">
      <formula>"true"</formula>
    </cfRule>
  </conditionalFormatting>
  <conditionalFormatting sqref="L9">
    <cfRule type="cellIs" dxfId="189" priority="186" operator="equal">
      <formula>"false"</formula>
    </cfRule>
  </conditionalFormatting>
  <conditionalFormatting sqref="L9">
    <cfRule type="cellIs" dxfId="188" priority="185" operator="equal">
      <formula>"false"</formula>
    </cfRule>
  </conditionalFormatting>
  <conditionalFormatting sqref="L9">
    <cfRule type="cellIs" dxfId="187" priority="183" operator="equal">
      <formula>"true"</formula>
    </cfRule>
    <cfRule type="cellIs" dxfId="186" priority="184" operator="equal">
      <formula>"true"</formula>
    </cfRule>
  </conditionalFormatting>
  <conditionalFormatting sqref="L9">
    <cfRule type="cellIs" dxfId="185" priority="182" operator="equal">
      <formula>"false"</formula>
    </cfRule>
  </conditionalFormatting>
  <conditionalFormatting sqref="L9">
    <cfRule type="cellIs" dxfId="184" priority="181" operator="equal">
      <formula>"false"</formula>
    </cfRule>
  </conditionalFormatting>
  <conditionalFormatting sqref="L9">
    <cfRule type="cellIs" dxfId="183" priority="179" operator="equal">
      <formula>"true"</formula>
    </cfRule>
    <cfRule type="cellIs" dxfId="182" priority="180" operator="equal">
      <formula>"true"</formula>
    </cfRule>
  </conditionalFormatting>
  <conditionalFormatting sqref="L9">
    <cfRule type="cellIs" dxfId="181" priority="178" operator="equal">
      <formula>"false"</formula>
    </cfRule>
  </conditionalFormatting>
  <conditionalFormatting sqref="L9">
    <cfRule type="cellIs" dxfId="180" priority="177" operator="equal">
      <formula>"false"</formula>
    </cfRule>
  </conditionalFormatting>
  <conditionalFormatting sqref="L9">
    <cfRule type="cellIs" dxfId="179" priority="175" operator="equal">
      <formula>"true"</formula>
    </cfRule>
    <cfRule type="cellIs" dxfId="178" priority="176" operator="equal">
      <formula>"true"</formula>
    </cfRule>
  </conditionalFormatting>
  <conditionalFormatting sqref="I9">
    <cfRule type="cellIs" dxfId="177" priority="174" operator="equal">
      <formula>"false"</formula>
    </cfRule>
  </conditionalFormatting>
  <conditionalFormatting sqref="I9">
    <cfRule type="cellIs" dxfId="176" priority="173" operator="equal">
      <formula>"false"</formula>
    </cfRule>
  </conditionalFormatting>
  <conditionalFormatting sqref="I9">
    <cfRule type="cellIs" dxfId="175" priority="171" operator="equal">
      <formula>"true"</formula>
    </cfRule>
    <cfRule type="cellIs" dxfId="174" priority="172" operator="equal">
      <formula>"true"</formula>
    </cfRule>
  </conditionalFormatting>
  <conditionalFormatting sqref="K9">
    <cfRule type="cellIs" dxfId="173" priority="170" operator="equal">
      <formula>"false"</formula>
    </cfRule>
  </conditionalFormatting>
  <conditionalFormatting sqref="K9">
    <cfRule type="cellIs" dxfId="172" priority="169" operator="equal">
      <formula>"false"</formula>
    </cfRule>
  </conditionalFormatting>
  <conditionalFormatting sqref="K9">
    <cfRule type="cellIs" dxfId="171" priority="167" operator="equal">
      <formula>"true"</formula>
    </cfRule>
    <cfRule type="cellIs" dxfId="170" priority="168" operator="equal">
      <formula>"true"</formula>
    </cfRule>
  </conditionalFormatting>
  <conditionalFormatting sqref="I10">
    <cfRule type="cellIs" dxfId="169" priority="166" operator="equal">
      <formula>"false"</formula>
    </cfRule>
  </conditionalFormatting>
  <conditionalFormatting sqref="I10">
    <cfRule type="cellIs" dxfId="168" priority="165" operator="equal">
      <formula>"false"</formula>
    </cfRule>
  </conditionalFormatting>
  <conditionalFormatting sqref="I10">
    <cfRule type="cellIs" dxfId="167" priority="163" operator="equal">
      <formula>"true"</formula>
    </cfRule>
    <cfRule type="cellIs" dxfId="166" priority="164" operator="equal">
      <formula>"true"</formula>
    </cfRule>
  </conditionalFormatting>
  <conditionalFormatting sqref="K10">
    <cfRule type="cellIs" dxfId="165" priority="162" operator="equal">
      <formula>"false"</formula>
    </cfRule>
  </conditionalFormatting>
  <conditionalFormatting sqref="K10">
    <cfRule type="cellIs" dxfId="164" priority="161" operator="equal">
      <formula>"false"</formula>
    </cfRule>
  </conditionalFormatting>
  <conditionalFormatting sqref="K10">
    <cfRule type="cellIs" dxfId="163" priority="159" operator="equal">
      <formula>"true"</formula>
    </cfRule>
    <cfRule type="cellIs" dxfId="162" priority="160" operator="equal">
      <formula>"true"</formula>
    </cfRule>
  </conditionalFormatting>
  <conditionalFormatting sqref="X10">
    <cfRule type="cellIs" dxfId="161" priority="157" operator="equal">
      <formula>"Нет"</formula>
    </cfRule>
    <cfRule type="cellIs" dxfId="160" priority="158" operator="equal">
      <formula>"Да"</formula>
    </cfRule>
  </conditionalFormatting>
  <conditionalFormatting sqref="X11">
    <cfRule type="cellIs" dxfId="159" priority="155" operator="equal">
      <formula>"Нет"</formula>
    </cfRule>
    <cfRule type="cellIs" dxfId="158" priority="156" operator="equal">
      <formula>"Да"</formula>
    </cfRule>
  </conditionalFormatting>
  <conditionalFormatting sqref="I11">
    <cfRule type="cellIs" dxfId="157" priority="154" operator="equal">
      <formula>"false"</formula>
    </cfRule>
  </conditionalFormatting>
  <conditionalFormatting sqref="I11">
    <cfRule type="cellIs" dxfId="156" priority="153" operator="equal">
      <formula>"false"</formula>
    </cfRule>
  </conditionalFormatting>
  <conditionalFormatting sqref="I11">
    <cfRule type="cellIs" dxfId="155" priority="151" operator="equal">
      <formula>"true"</formula>
    </cfRule>
    <cfRule type="cellIs" dxfId="154" priority="152" operator="equal">
      <formula>"true"</formula>
    </cfRule>
  </conditionalFormatting>
  <conditionalFormatting sqref="J8:J10">
    <cfRule type="cellIs" dxfId="153" priority="150" operator="equal">
      <formula>"false"</formula>
    </cfRule>
  </conditionalFormatting>
  <conditionalFormatting sqref="J8:J10">
    <cfRule type="cellIs" dxfId="152" priority="149" operator="equal">
      <formula>"false"</formula>
    </cfRule>
  </conditionalFormatting>
  <conditionalFormatting sqref="J8:J10">
    <cfRule type="cellIs" dxfId="151" priority="147" operator="equal">
      <formula>"true"</formula>
    </cfRule>
    <cfRule type="cellIs" dxfId="150" priority="148" operator="equal">
      <formula>"true"</formula>
    </cfRule>
  </conditionalFormatting>
  <conditionalFormatting sqref="K11">
    <cfRule type="cellIs" dxfId="149" priority="146" operator="equal">
      <formula>"false"</formula>
    </cfRule>
  </conditionalFormatting>
  <conditionalFormatting sqref="K11">
    <cfRule type="cellIs" dxfId="148" priority="145" operator="equal">
      <formula>"false"</formula>
    </cfRule>
  </conditionalFormatting>
  <conditionalFormatting sqref="K11">
    <cfRule type="cellIs" dxfId="147" priority="143" operator="equal">
      <formula>"true"</formula>
    </cfRule>
    <cfRule type="cellIs" dxfId="146" priority="144" operator="equal">
      <formula>"true"</formula>
    </cfRule>
  </conditionalFormatting>
  <conditionalFormatting sqref="I12">
    <cfRule type="cellIs" dxfId="145" priority="142" operator="equal">
      <formula>"false"</formula>
    </cfRule>
  </conditionalFormatting>
  <conditionalFormatting sqref="I12">
    <cfRule type="cellIs" dxfId="144" priority="141" operator="equal">
      <formula>"false"</formula>
    </cfRule>
  </conditionalFormatting>
  <conditionalFormatting sqref="I12">
    <cfRule type="cellIs" dxfId="143" priority="139" operator="equal">
      <formula>"true"</formula>
    </cfRule>
    <cfRule type="cellIs" dxfId="142" priority="140" operator="equal">
      <formula>"true"</formula>
    </cfRule>
  </conditionalFormatting>
  <conditionalFormatting sqref="K12">
    <cfRule type="cellIs" dxfId="141" priority="138" operator="equal">
      <formula>"false"</formula>
    </cfRule>
  </conditionalFormatting>
  <conditionalFormatting sqref="K12">
    <cfRule type="cellIs" dxfId="140" priority="137" operator="equal">
      <formula>"false"</formula>
    </cfRule>
  </conditionalFormatting>
  <conditionalFormatting sqref="K12">
    <cfRule type="cellIs" dxfId="139" priority="135" operator="equal">
      <formula>"true"</formula>
    </cfRule>
    <cfRule type="cellIs" dxfId="138" priority="136" operator="equal">
      <formula>"true"</formula>
    </cfRule>
  </conditionalFormatting>
  <conditionalFormatting sqref="J13">
    <cfRule type="cellIs" dxfId="137" priority="134" operator="equal">
      <formula>"false"</formula>
    </cfRule>
  </conditionalFormatting>
  <conditionalFormatting sqref="J13">
    <cfRule type="cellIs" dxfId="136" priority="133" operator="equal">
      <formula>"false"</formula>
    </cfRule>
  </conditionalFormatting>
  <conditionalFormatting sqref="J13">
    <cfRule type="cellIs" dxfId="135" priority="131" operator="equal">
      <formula>"true"</formula>
    </cfRule>
    <cfRule type="cellIs" dxfId="134" priority="132" operator="equal">
      <formula>"true"</formula>
    </cfRule>
  </conditionalFormatting>
  <conditionalFormatting sqref="I13">
    <cfRule type="cellIs" dxfId="133" priority="130" operator="equal">
      <formula>"false"</formula>
    </cfRule>
  </conditionalFormatting>
  <conditionalFormatting sqref="I13">
    <cfRule type="cellIs" dxfId="132" priority="129" operator="equal">
      <formula>"false"</formula>
    </cfRule>
  </conditionalFormatting>
  <conditionalFormatting sqref="I13">
    <cfRule type="cellIs" dxfId="131" priority="127" operator="equal">
      <formula>"true"</formula>
    </cfRule>
    <cfRule type="cellIs" dxfId="130" priority="128" operator="equal">
      <formula>"true"</formula>
    </cfRule>
  </conditionalFormatting>
  <conditionalFormatting sqref="K13">
    <cfRule type="cellIs" dxfId="129" priority="126" operator="equal">
      <formula>"false"</formula>
    </cfRule>
  </conditionalFormatting>
  <conditionalFormatting sqref="K13">
    <cfRule type="cellIs" dxfId="128" priority="125" operator="equal">
      <formula>"false"</formula>
    </cfRule>
  </conditionalFormatting>
  <conditionalFormatting sqref="K13">
    <cfRule type="cellIs" dxfId="127" priority="123" operator="equal">
      <formula>"true"</formula>
    </cfRule>
    <cfRule type="cellIs" dxfId="126" priority="124" operator="equal">
      <formula>"true"</formula>
    </cfRule>
  </conditionalFormatting>
  <conditionalFormatting sqref="J34">
    <cfRule type="cellIs" dxfId="125" priority="122" operator="equal">
      <formula>"false"</formula>
    </cfRule>
  </conditionalFormatting>
  <conditionalFormatting sqref="J34">
    <cfRule type="cellIs" dxfId="124" priority="121" operator="equal">
      <formula>"false"</formula>
    </cfRule>
  </conditionalFormatting>
  <conditionalFormatting sqref="J34">
    <cfRule type="cellIs" dxfId="123" priority="119" operator="equal">
      <formula>"true"</formula>
    </cfRule>
    <cfRule type="cellIs" dxfId="122" priority="120" operator="equal">
      <formula>"true"</formula>
    </cfRule>
  </conditionalFormatting>
  <conditionalFormatting sqref="T32:V34">
    <cfRule type="cellIs" dxfId="121" priority="118" operator="equal">
      <formula>"false"</formula>
    </cfRule>
  </conditionalFormatting>
  <conditionalFormatting sqref="T32:V34">
    <cfRule type="cellIs" dxfId="120" priority="117" operator="equal">
      <formula>"false"</formula>
    </cfRule>
  </conditionalFormatting>
  <conditionalFormatting sqref="T32:V34">
    <cfRule type="cellIs" dxfId="119" priority="115" operator="equal">
      <formula>"true"</formula>
    </cfRule>
    <cfRule type="cellIs" dxfId="118" priority="116" operator="equal">
      <formula>"true"</formula>
    </cfRule>
  </conditionalFormatting>
  <conditionalFormatting sqref="X32:X34">
    <cfRule type="cellIs" dxfId="117" priority="113" operator="equal">
      <formula>"Нет"</formula>
    </cfRule>
    <cfRule type="cellIs" dxfId="116" priority="114" operator="equal">
      <formula>"Да"</formula>
    </cfRule>
  </conditionalFormatting>
  <conditionalFormatting sqref="L34">
    <cfRule type="cellIs" dxfId="115" priority="112" operator="equal">
      <formula>"false"</formula>
    </cfRule>
  </conditionalFormatting>
  <conditionalFormatting sqref="L34">
    <cfRule type="cellIs" dxfId="114" priority="111" operator="equal">
      <formula>"false"</formula>
    </cfRule>
  </conditionalFormatting>
  <conditionalFormatting sqref="L34">
    <cfRule type="cellIs" dxfId="113" priority="109" operator="equal">
      <formula>"true"</formula>
    </cfRule>
    <cfRule type="cellIs" dxfId="112" priority="110" operator="equal">
      <formula>"true"</formula>
    </cfRule>
  </conditionalFormatting>
  <conditionalFormatting sqref="I32:L32">
    <cfRule type="cellIs" dxfId="111" priority="108" operator="equal">
      <formula>"false"</formula>
    </cfRule>
  </conditionalFormatting>
  <conditionalFormatting sqref="I32:L32">
    <cfRule type="cellIs" dxfId="110" priority="107" operator="equal">
      <formula>"false"</formula>
    </cfRule>
  </conditionalFormatting>
  <conditionalFormatting sqref="I32:L32">
    <cfRule type="cellIs" dxfId="109" priority="105" operator="equal">
      <formula>"true"</formula>
    </cfRule>
    <cfRule type="cellIs" dxfId="108" priority="106" operator="equal">
      <formula>"true"</formula>
    </cfRule>
  </conditionalFormatting>
  <conditionalFormatting sqref="L33">
    <cfRule type="cellIs" dxfId="107" priority="104" operator="equal">
      <formula>"false"</formula>
    </cfRule>
  </conditionalFormatting>
  <conditionalFormatting sqref="L33">
    <cfRule type="cellIs" dxfId="106" priority="103" operator="equal">
      <formula>"false"</formula>
    </cfRule>
  </conditionalFormatting>
  <conditionalFormatting sqref="L33">
    <cfRule type="cellIs" dxfId="105" priority="101" operator="equal">
      <formula>"true"</formula>
    </cfRule>
    <cfRule type="cellIs" dxfId="104" priority="102" operator="equal">
      <formula>"true"</formula>
    </cfRule>
  </conditionalFormatting>
  <conditionalFormatting sqref="L33">
    <cfRule type="cellIs" dxfId="103" priority="100" operator="equal">
      <formula>"false"</formula>
    </cfRule>
  </conditionalFormatting>
  <conditionalFormatting sqref="L33">
    <cfRule type="cellIs" dxfId="102" priority="99" operator="equal">
      <formula>"false"</formula>
    </cfRule>
  </conditionalFormatting>
  <conditionalFormatting sqref="L33">
    <cfRule type="cellIs" dxfId="101" priority="97" operator="equal">
      <formula>"true"</formula>
    </cfRule>
    <cfRule type="cellIs" dxfId="100" priority="98" operator="equal">
      <formula>"true"</formula>
    </cfRule>
  </conditionalFormatting>
  <conditionalFormatting sqref="J33 L33">
    <cfRule type="cellIs" dxfId="99" priority="96" operator="equal">
      <formula>"false"</formula>
    </cfRule>
  </conditionalFormatting>
  <conditionalFormatting sqref="J33 L33">
    <cfRule type="cellIs" dxfId="98" priority="95" operator="equal">
      <formula>"false"</formula>
    </cfRule>
  </conditionalFormatting>
  <conditionalFormatting sqref="J33 L33">
    <cfRule type="cellIs" dxfId="97" priority="93" operator="equal">
      <formula>"true"</formula>
    </cfRule>
    <cfRule type="cellIs" dxfId="96" priority="94" operator="equal">
      <formula>"true"</formula>
    </cfRule>
  </conditionalFormatting>
  <conditionalFormatting sqref="J33">
    <cfRule type="cellIs" dxfId="95" priority="92" operator="equal">
      <formula>"false"</formula>
    </cfRule>
  </conditionalFormatting>
  <conditionalFormatting sqref="J33">
    <cfRule type="cellIs" dxfId="94" priority="91" operator="equal">
      <formula>"false"</formula>
    </cfRule>
  </conditionalFormatting>
  <conditionalFormatting sqref="J33">
    <cfRule type="cellIs" dxfId="93" priority="89" operator="equal">
      <formula>"true"</formula>
    </cfRule>
    <cfRule type="cellIs" dxfId="92" priority="90" operator="equal">
      <formula>"true"</formula>
    </cfRule>
  </conditionalFormatting>
  <conditionalFormatting sqref="I33">
    <cfRule type="cellIs" dxfId="91" priority="88" operator="equal">
      <formula>"false"</formula>
    </cfRule>
  </conditionalFormatting>
  <conditionalFormatting sqref="I33">
    <cfRule type="cellIs" dxfId="90" priority="87" operator="equal">
      <formula>"false"</formula>
    </cfRule>
  </conditionalFormatting>
  <conditionalFormatting sqref="I33">
    <cfRule type="cellIs" dxfId="89" priority="85" operator="equal">
      <formula>"true"</formula>
    </cfRule>
    <cfRule type="cellIs" dxfId="88" priority="86" operator="equal">
      <formula>"true"</formula>
    </cfRule>
  </conditionalFormatting>
  <conditionalFormatting sqref="K33">
    <cfRule type="cellIs" dxfId="87" priority="84" operator="equal">
      <formula>"false"</formula>
    </cfRule>
  </conditionalFormatting>
  <conditionalFormatting sqref="K33">
    <cfRule type="cellIs" dxfId="86" priority="83" operator="equal">
      <formula>"false"</formula>
    </cfRule>
  </conditionalFormatting>
  <conditionalFormatting sqref="K33">
    <cfRule type="cellIs" dxfId="85" priority="81" operator="equal">
      <formula>"true"</formula>
    </cfRule>
    <cfRule type="cellIs" dxfId="84" priority="82" operator="equal">
      <formula>"true"</formula>
    </cfRule>
  </conditionalFormatting>
  <conditionalFormatting sqref="I34">
    <cfRule type="cellIs" dxfId="83" priority="80" operator="equal">
      <formula>"false"</formula>
    </cfRule>
  </conditionalFormatting>
  <conditionalFormatting sqref="I34">
    <cfRule type="cellIs" dxfId="82" priority="79" operator="equal">
      <formula>"false"</formula>
    </cfRule>
  </conditionalFormatting>
  <conditionalFormatting sqref="I34">
    <cfRule type="cellIs" dxfId="81" priority="77" operator="equal">
      <formula>"true"</formula>
    </cfRule>
    <cfRule type="cellIs" dxfId="80" priority="78" operator="equal">
      <formula>"true"</formula>
    </cfRule>
  </conditionalFormatting>
  <conditionalFormatting sqref="K34">
    <cfRule type="cellIs" dxfId="79" priority="76" operator="equal">
      <formula>"false"</formula>
    </cfRule>
  </conditionalFormatting>
  <conditionalFormatting sqref="K34">
    <cfRule type="cellIs" dxfId="78" priority="75" operator="equal">
      <formula>"false"</formula>
    </cfRule>
  </conditionalFormatting>
  <conditionalFormatting sqref="K34">
    <cfRule type="cellIs" dxfId="77" priority="73" operator="equal">
      <formula>"true"</formula>
    </cfRule>
    <cfRule type="cellIs" dxfId="76" priority="74" operator="equal">
      <formula>"true"</formula>
    </cfRule>
  </conditionalFormatting>
  <conditionalFormatting sqref="I35:J36 L35:L36">
    <cfRule type="cellIs" dxfId="75" priority="72" operator="equal">
      <formula>"false"</formula>
    </cfRule>
  </conditionalFormatting>
  <conditionalFormatting sqref="I35:J36 L35:L36">
    <cfRule type="cellIs" dxfId="74" priority="71" operator="equal">
      <formula>"false"</formula>
    </cfRule>
  </conditionalFormatting>
  <conditionalFormatting sqref="I35:J36 L35:L36">
    <cfRule type="cellIs" dxfId="73" priority="69" operator="equal">
      <formula>"true"</formula>
    </cfRule>
    <cfRule type="cellIs" dxfId="72" priority="70" operator="equal">
      <formula>"true"</formula>
    </cfRule>
  </conditionalFormatting>
  <conditionalFormatting sqref="U35:V36">
    <cfRule type="cellIs" dxfId="71" priority="68" operator="equal">
      <formula>"false"</formula>
    </cfRule>
  </conditionalFormatting>
  <conditionalFormatting sqref="U35:V36">
    <cfRule type="cellIs" dxfId="70" priority="67" operator="equal">
      <formula>"false"</formula>
    </cfRule>
  </conditionalFormatting>
  <conditionalFormatting sqref="U35:V36">
    <cfRule type="cellIs" dxfId="69" priority="65" operator="equal">
      <formula>"true"</formula>
    </cfRule>
    <cfRule type="cellIs" dxfId="68" priority="66" operator="equal">
      <formula>"true"</formula>
    </cfRule>
  </conditionalFormatting>
  <conditionalFormatting sqref="X35:X36">
    <cfRule type="cellIs" dxfId="67" priority="63" operator="equal">
      <formula>"Нет"</formula>
    </cfRule>
    <cfRule type="cellIs" dxfId="66" priority="64" operator="equal">
      <formula>"Да"</formula>
    </cfRule>
  </conditionalFormatting>
  <conditionalFormatting sqref="I35:I36">
    <cfRule type="cellIs" dxfId="65" priority="62" operator="equal">
      <formula>"false"</formula>
    </cfRule>
  </conditionalFormatting>
  <conditionalFormatting sqref="I35:I36">
    <cfRule type="cellIs" dxfId="64" priority="61" operator="equal">
      <formula>"false"</formula>
    </cfRule>
  </conditionalFormatting>
  <conditionalFormatting sqref="I35:I36">
    <cfRule type="cellIs" dxfId="63" priority="59" operator="equal">
      <formula>"true"</formula>
    </cfRule>
    <cfRule type="cellIs" dxfId="62" priority="60" operator="equal">
      <formula>"true"</formula>
    </cfRule>
  </conditionalFormatting>
  <conditionalFormatting sqref="K35:K36">
    <cfRule type="cellIs" dxfId="61" priority="58" operator="equal">
      <formula>"false"</formula>
    </cfRule>
  </conditionalFormatting>
  <conditionalFormatting sqref="K35:K36">
    <cfRule type="cellIs" dxfId="60" priority="57" operator="equal">
      <formula>"false"</formula>
    </cfRule>
  </conditionalFormatting>
  <conditionalFormatting sqref="K35:K36">
    <cfRule type="cellIs" dxfId="59" priority="55" operator="equal">
      <formula>"true"</formula>
    </cfRule>
    <cfRule type="cellIs" dxfId="58" priority="56" operator="equal">
      <formula>"true"</formula>
    </cfRule>
  </conditionalFormatting>
  <conditionalFormatting sqref="L35:L36">
    <cfRule type="cellIs" dxfId="57" priority="54" operator="equal">
      <formula>"false"</formula>
    </cfRule>
  </conditionalFormatting>
  <conditionalFormatting sqref="L35:L36">
    <cfRule type="cellIs" dxfId="56" priority="53" operator="equal">
      <formula>"false"</formula>
    </cfRule>
  </conditionalFormatting>
  <conditionalFormatting sqref="L35:L36">
    <cfRule type="cellIs" dxfId="55" priority="51" operator="equal">
      <formula>"true"</formula>
    </cfRule>
    <cfRule type="cellIs" dxfId="54" priority="52" operator="equal">
      <formula>"true"</formula>
    </cfRule>
  </conditionalFormatting>
  <conditionalFormatting sqref="L35:L36">
    <cfRule type="cellIs" dxfId="53" priority="50" operator="equal">
      <formula>"false"</formula>
    </cfRule>
  </conditionalFormatting>
  <conditionalFormatting sqref="L35:L36">
    <cfRule type="cellIs" dxfId="52" priority="49" operator="equal">
      <formula>"false"</formula>
    </cfRule>
  </conditionalFormatting>
  <conditionalFormatting sqref="L35:L36">
    <cfRule type="cellIs" dxfId="51" priority="47" operator="equal">
      <formula>"true"</formula>
    </cfRule>
    <cfRule type="cellIs" dxfId="50" priority="48" operator="equal">
      <formula>"true"</formula>
    </cfRule>
  </conditionalFormatting>
  <conditionalFormatting sqref="T35:T36">
    <cfRule type="cellIs" dxfId="49" priority="46" operator="equal">
      <formula>"false"</formula>
    </cfRule>
  </conditionalFormatting>
  <conditionalFormatting sqref="T35:T36">
    <cfRule type="cellIs" dxfId="48" priority="45" operator="equal">
      <formula>"false"</formula>
    </cfRule>
  </conditionalFormatting>
  <conditionalFormatting sqref="T35:T36">
    <cfRule type="cellIs" dxfId="47" priority="43" operator="equal">
      <formula>"true"</formula>
    </cfRule>
    <cfRule type="cellIs" dxfId="46" priority="44" operator="equal">
      <formula>"true"</formula>
    </cfRule>
  </conditionalFormatting>
  <conditionalFormatting sqref="U56:V56">
    <cfRule type="cellIs" dxfId="45" priority="42" operator="equal">
      <formula>"false"</formula>
    </cfRule>
  </conditionalFormatting>
  <conditionalFormatting sqref="U56:V56">
    <cfRule type="cellIs" dxfId="44" priority="41" operator="equal">
      <formula>"false"</formula>
    </cfRule>
  </conditionalFormatting>
  <conditionalFormatting sqref="U56:V56">
    <cfRule type="cellIs" dxfId="43" priority="39" operator="equal">
      <formula>"true"</formula>
    </cfRule>
    <cfRule type="cellIs" dxfId="42" priority="40" operator="equal">
      <formula>"true"</formula>
    </cfRule>
  </conditionalFormatting>
  <conditionalFormatting sqref="X56">
    <cfRule type="cellIs" dxfId="41" priority="37" operator="equal">
      <formula>"Нет"</formula>
    </cfRule>
    <cfRule type="cellIs" dxfId="40" priority="38" operator="equal">
      <formula>"Да"</formula>
    </cfRule>
  </conditionalFormatting>
  <conditionalFormatting sqref="J56 L56">
    <cfRule type="cellIs" dxfId="39" priority="36" operator="equal">
      <formula>"false"</formula>
    </cfRule>
  </conditionalFormatting>
  <conditionalFormatting sqref="J56 L56">
    <cfRule type="cellIs" dxfId="38" priority="35" operator="equal">
      <formula>"false"</formula>
    </cfRule>
  </conditionalFormatting>
  <conditionalFormatting sqref="J56 L56">
    <cfRule type="cellIs" dxfId="37" priority="33" operator="equal">
      <formula>"true"</formula>
    </cfRule>
    <cfRule type="cellIs" dxfId="36" priority="34" operator="equal">
      <formula>"true"</formula>
    </cfRule>
  </conditionalFormatting>
  <conditionalFormatting sqref="L56">
    <cfRule type="cellIs" dxfId="35" priority="32" operator="equal">
      <formula>"false"</formula>
    </cfRule>
  </conditionalFormatting>
  <conditionalFormatting sqref="L56">
    <cfRule type="cellIs" dxfId="34" priority="31" operator="equal">
      <formula>"false"</formula>
    </cfRule>
  </conditionalFormatting>
  <conditionalFormatting sqref="L56">
    <cfRule type="cellIs" dxfId="33" priority="29" operator="equal">
      <formula>"true"</formula>
    </cfRule>
    <cfRule type="cellIs" dxfId="32" priority="30" operator="equal">
      <formula>"true"</formula>
    </cfRule>
  </conditionalFormatting>
  <conditionalFormatting sqref="T56">
    <cfRule type="cellIs" dxfId="31" priority="28" operator="equal">
      <formula>"false"</formula>
    </cfRule>
  </conditionalFormatting>
  <conditionalFormatting sqref="T56">
    <cfRule type="cellIs" dxfId="30" priority="27" operator="equal">
      <formula>"false"</formula>
    </cfRule>
  </conditionalFormatting>
  <conditionalFormatting sqref="T56">
    <cfRule type="cellIs" dxfId="29" priority="25" operator="equal">
      <formula>"true"</formula>
    </cfRule>
    <cfRule type="cellIs" dxfId="28" priority="26" operator="equal">
      <formula>"true"</formula>
    </cfRule>
  </conditionalFormatting>
  <conditionalFormatting sqref="I56">
    <cfRule type="cellIs" dxfId="27" priority="24" operator="equal">
      <formula>"false"</formula>
    </cfRule>
  </conditionalFormatting>
  <conditionalFormatting sqref="I56">
    <cfRule type="cellIs" dxfId="26" priority="23" operator="equal">
      <formula>"false"</formula>
    </cfRule>
  </conditionalFormatting>
  <conditionalFormatting sqref="I56">
    <cfRule type="cellIs" dxfId="25" priority="21" operator="equal">
      <formula>"true"</formula>
    </cfRule>
    <cfRule type="cellIs" dxfId="24" priority="22" operator="equal">
      <formula>"true"</formula>
    </cfRule>
  </conditionalFormatting>
  <conditionalFormatting sqref="K56">
    <cfRule type="cellIs" dxfId="23" priority="20" operator="equal">
      <formula>"false"</formula>
    </cfRule>
  </conditionalFormatting>
  <conditionalFormatting sqref="K56">
    <cfRule type="cellIs" dxfId="22" priority="19" operator="equal">
      <formula>"false"</formula>
    </cfRule>
  </conditionalFormatting>
  <conditionalFormatting sqref="K56">
    <cfRule type="cellIs" dxfId="21" priority="17" operator="equal">
      <formula>"true"</formula>
    </cfRule>
    <cfRule type="cellIs" dxfId="20" priority="18" operator="equal">
      <formula>"true"</formula>
    </cfRule>
  </conditionalFormatting>
  <conditionalFormatting sqref="I80:L86">
    <cfRule type="cellIs" dxfId="15" priority="16" operator="equal">
      <formula>"false"</formula>
    </cfRule>
  </conditionalFormatting>
  <conditionalFormatting sqref="I80:L86">
    <cfRule type="cellIs" dxfId="14" priority="15" operator="equal">
      <formula>"false"</formula>
    </cfRule>
  </conditionalFormatting>
  <conditionalFormatting sqref="I80:L86">
    <cfRule type="cellIs" dxfId="13" priority="13" operator="equal">
      <formula>"true"</formula>
    </cfRule>
    <cfRule type="cellIs" dxfId="12" priority="14" operator="equal">
      <formula>"true"</formula>
    </cfRule>
  </conditionalFormatting>
  <conditionalFormatting sqref="I80:L86">
    <cfRule type="cellIs" dxfId="11" priority="12" operator="equal">
      <formula>"false"</formula>
    </cfRule>
  </conditionalFormatting>
  <conditionalFormatting sqref="I80:L86">
    <cfRule type="cellIs" dxfId="10" priority="11" operator="equal">
      <formula>"false"</formula>
    </cfRule>
  </conditionalFormatting>
  <conditionalFormatting sqref="I80:L86">
    <cfRule type="cellIs" dxfId="9" priority="9" operator="equal">
      <formula>"true"</formula>
    </cfRule>
    <cfRule type="cellIs" dxfId="8" priority="10" operator="equal">
      <formula>"true"</formula>
    </cfRule>
  </conditionalFormatting>
  <conditionalFormatting sqref="I104:L106">
    <cfRule type="cellIs" dxfId="7" priority="8" operator="equal">
      <formula>"false"</formula>
    </cfRule>
  </conditionalFormatting>
  <conditionalFormatting sqref="I104:L106">
    <cfRule type="cellIs" dxfId="6" priority="7" operator="equal">
      <formula>"false"</formula>
    </cfRule>
  </conditionalFormatting>
  <conditionalFormatting sqref="I104:L106">
    <cfRule type="cellIs" dxfId="5" priority="5" operator="equal">
      <formula>"true"</formula>
    </cfRule>
    <cfRule type="cellIs" dxfId="4" priority="6" operator="equal">
      <formula>"true"</formula>
    </cfRule>
  </conditionalFormatting>
  <conditionalFormatting sqref="I152:L160">
    <cfRule type="cellIs" dxfId="3" priority="4" operator="equal">
      <formula>"false"</formula>
    </cfRule>
  </conditionalFormatting>
  <conditionalFormatting sqref="I152:L160">
    <cfRule type="cellIs" dxfId="2" priority="3" operator="equal">
      <formula>"false"</formula>
    </cfRule>
  </conditionalFormatting>
  <conditionalFormatting sqref="I152:L160">
    <cfRule type="cellIs" dxfId="1" priority="1" operator="equal">
      <formula>"true"</formula>
    </cfRule>
    <cfRule type="cellIs" dxfId="0" priority="2" operator="equal">
      <formula>"true"</formula>
    </cfRule>
  </conditionalFormatting>
  <dataValidations count="2">
    <dataValidation type="list" allowBlank="1" showInputMessage="1" showErrorMessage="1" sqref="I56:L75 I128:L147 I464:L483 T80:V99 I200:L219 I224:L243 I32:L51 I176:L195 T224:V243 T128:V147 T248:V267 I248:L267 T272:V291 I272:L291 T296:V315 I296:L315 T320:V339 I320:L339 T344:V363 I344:L363 T8:V27 T368:V387 I368:L387 T392:V411 I392:L411 T416:V435 I416:L435 T440:V459 I440:L459 T464:V483 T56:V75 T104:V123 I8:L27 I80:L99 I104:L123 T152:V171 T176:V195 T200:V219 T32:V51 I152:L171">
      <formula1>"false, true"</formula1>
    </dataValidation>
    <dataValidation type="list" allowBlank="1" showInputMessage="1" showErrorMessage="1" sqref="X32:X51 X80:X99 X8:X27 X464:X483 X176:X195 X128:X147 X152:X171 X104:X123 X224:X243 X248:X267 X272:X291 X296:X315 X320:X339 X344:X363 X368:X387 X392:X411 X416:X435 X440:X459 X200:X219 X56:X75">
      <formula1>"Да, Нет"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Экраны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rassser</dc:creator>
  <cp:lastModifiedBy>Sergey Rassudin</cp:lastModifiedBy>
  <dcterms:created xsi:type="dcterms:W3CDTF">2024-07-10T16:58:54Z</dcterms:created>
  <dcterms:modified xsi:type="dcterms:W3CDTF">2026-10-02T10:19:39Z</dcterms:modified>
</cp:coreProperties>
</file>